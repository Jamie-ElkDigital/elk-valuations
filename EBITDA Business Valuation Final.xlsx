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arrettadamaccountants.sharepoint.com/sites/Company/Shared Documents/Garrett Adam Accountants Limited/Q-V/View HR Limited/Accounts, CT600 Tax Returns and Workings etc/"/>
    </mc:Choice>
  </mc:AlternateContent>
  <xr:revisionPtr revIDLastSave="654" documentId="8_{EA7A1DE7-78D7-4500-80A2-AF094E5BD1C7}" xr6:coauthVersionLast="47" xr6:coauthVersionMax="47" xr10:uidLastSave="{534D4C1B-AE78-48EB-AF63-3F847C0EAFF3}"/>
  <bookViews>
    <workbookView xWindow="-110" yWindow="-110" windowWidth="19420" windowHeight="11500" xr2:uid="{60E7F140-3BF5-411F-A10F-C520FDD57123}"/>
  </bookViews>
  <sheets>
    <sheet name="Cover" sheetId="1" r:id="rId1"/>
    <sheet name="Ebitda" sheetId="2" r:id="rId2"/>
    <sheet name="Price of share" sheetId="7" r:id="rId3"/>
    <sheet name="Profit &amp; loss per accs" sheetId="5" r:id="rId4"/>
    <sheet name="Balance sheet" sheetId="3" r:id="rId5"/>
    <sheet name="Ebitda workings" sheetId="4" r:id="rId6"/>
    <sheet name="Heidi consideration" sheetId="8" r:id="rId7"/>
    <sheet name="payroll" sheetId="6" r:id="rId8"/>
  </sheets>
  <definedNames>
    <definedName name="_xlnm.Print_Area" localSheetId="1">Ebitda!$A$1:$I$21</definedName>
    <definedName name="_xlnm.Print_Area" localSheetId="2">'Price of share'!$A$1:$E$22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4" l="1"/>
  <c r="B58" i="8"/>
  <c r="E44" i="8"/>
  <c r="V36" i="8"/>
  <c r="V25" i="8"/>
  <c r="T11" i="8"/>
  <c r="T17" i="8" s="1"/>
  <c r="T21" i="8" s="1"/>
  <c r="R11" i="8"/>
  <c r="R17" i="8" s="1"/>
  <c r="R21" i="8" s="1"/>
  <c r="P11" i="8"/>
  <c r="P17" i="8" s="1"/>
  <c r="P21" i="8" s="1"/>
  <c r="G15" i="8"/>
  <c r="E15" i="8"/>
  <c r="C15" i="8"/>
  <c r="G13" i="8"/>
  <c r="E13" i="8"/>
  <c r="G9" i="8"/>
  <c r="E9" i="8"/>
  <c r="C9" i="8"/>
  <c r="G7" i="8"/>
  <c r="E7" i="8"/>
  <c r="C7" i="8"/>
  <c r="A1" i="8"/>
  <c r="C11" i="8" l="1"/>
  <c r="V21" i="8"/>
  <c r="E11" i="8"/>
  <c r="E17" i="8" s="1"/>
  <c r="G11" i="8"/>
  <c r="G17" i="8" s="1"/>
  <c r="K22" i="4"/>
  <c r="I22" i="4"/>
  <c r="G15" i="2" l="1"/>
  <c r="E15" i="2"/>
  <c r="C15" i="2"/>
  <c r="S11" i="4"/>
  <c r="Q11" i="4"/>
  <c r="O11" i="4"/>
  <c r="M11" i="4"/>
  <c r="K11" i="4"/>
  <c r="I11" i="4"/>
  <c r="G11" i="4"/>
  <c r="E11" i="4"/>
  <c r="C11" i="4"/>
  <c r="B24" i="7"/>
  <c r="I16" i="7"/>
  <c r="S64" i="4"/>
  <c r="Q64" i="4"/>
  <c r="O64" i="4"/>
  <c r="K64" i="4"/>
  <c r="S63" i="4"/>
  <c r="Q63" i="4"/>
  <c r="O63" i="4"/>
  <c r="S62" i="4"/>
  <c r="Q62" i="4"/>
  <c r="O62" i="4"/>
  <c r="S56" i="4"/>
  <c r="Q56" i="4"/>
  <c r="O56" i="4"/>
  <c r="S52" i="4"/>
  <c r="Q52" i="4"/>
  <c r="O52" i="4"/>
  <c r="M63" i="4"/>
  <c r="M62" i="4"/>
  <c r="K63" i="4"/>
  <c r="K62" i="4"/>
  <c r="I64" i="4"/>
  <c r="I63" i="4"/>
  <c r="I62" i="4"/>
  <c r="M47" i="4"/>
  <c r="M49" i="4" s="1"/>
  <c r="M59" i="4" s="1"/>
  <c r="K47" i="4"/>
  <c r="K49" i="4" s="1"/>
  <c r="K59" i="4" s="1"/>
  <c r="Q59" i="4" s="1"/>
  <c r="Q66" i="4" s="1"/>
  <c r="I47" i="4"/>
  <c r="I49" i="4" s="1"/>
  <c r="M57" i="4"/>
  <c r="K57" i="4"/>
  <c r="I57" i="4"/>
  <c r="O53" i="4"/>
  <c r="S15" i="4"/>
  <c r="Q15" i="4"/>
  <c r="O15" i="4"/>
  <c r="I15" i="4"/>
  <c r="S13" i="4"/>
  <c r="Q13" i="4"/>
  <c r="O13" i="4"/>
  <c r="S10" i="4"/>
  <c r="Q10" i="4"/>
  <c r="O10" i="4"/>
  <c r="O17" i="4"/>
  <c r="M56" i="4"/>
  <c r="K56" i="4"/>
  <c r="I56" i="4"/>
  <c r="M53" i="4"/>
  <c r="K53" i="4"/>
  <c r="I53" i="4"/>
  <c r="M52" i="4"/>
  <c r="K52" i="4"/>
  <c r="I52" i="4"/>
  <c r="M66" i="4" l="1"/>
  <c r="S59" i="4"/>
  <c r="S66" i="4" s="1"/>
  <c r="O49" i="4"/>
  <c r="I59" i="4"/>
  <c r="I54" i="4"/>
  <c r="K66" i="4"/>
  <c r="M64" i="4"/>
  <c r="G64" i="4"/>
  <c r="E64" i="4"/>
  <c r="C64" i="4"/>
  <c r="G57" i="4"/>
  <c r="E57" i="4"/>
  <c r="C57" i="4"/>
  <c r="G53" i="4"/>
  <c r="E53" i="4"/>
  <c r="C53" i="4"/>
  <c r="E47" i="4"/>
  <c r="C47" i="4"/>
  <c r="G29" i="4"/>
  <c r="G47" i="4" s="1"/>
  <c r="G15" i="4"/>
  <c r="G17" i="4" s="1"/>
  <c r="G49" i="4" s="1"/>
  <c r="G59" i="4" s="1"/>
  <c r="G66" i="4" s="1"/>
  <c r="E15" i="4"/>
  <c r="E17" i="4" s="1"/>
  <c r="E49" i="4" s="1"/>
  <c r="E59" i="4" s="1"/>
  <c r="E66" i="4" s="1"/>
  <c r="C15" i="4"/>
  <c r="C17" i="4" s="1"/>
  <c r="J27" i="3"/>
  <c r="G29" i="5"/>
  <c r="D41" i="3"/>
  <c r="C18" i="3"/>
  <c r="D24" i="3" s="1"/>
  <c r="D12" i="3"/>
  <c r="C64" i="5"/>
  <c r="C57" i="5"/>
  <c r="C53" i="5"/>
  <c r="C47" i="5"/>
  <c r="C15" i="5"/>
  <c r="C17" i="5" s="1"/>
  <c r="C49" i="5" s="1"/>
  <c r="G15" i="5"/>
  <c r="G17" i="5" s="1"/>
  <c r="E15" i="5"/>
  <c r="E17" i="5" s="1"/>
  <c r="A1" i="7"/>
  <c r="A1" i="2"/>
  <c r="B22" i="7"/>
  <c r="I17" i="7"/>
  <c r="H16" i="7"/>
  <c r="I20" i="7" s="1"/>
  <c r="I66" i="4" l="1"/>
  <c r="O59" i="4"/>
  <c r="O66" i="4" s="1"/>
  <c r="C49" i="4"/>
  <c r="C59" i="4" s="1"/>
  <c r="C66" i="4" s="1"/>
  <c r="D27" i="3"/>
  <c r="D35" i="3" s="1"/>
  <c r="C59" i="5"/>
  <c r="C66" i="5" s="1"/>
  <c r="G64" i="5" l="1"/>
  <c r="G57" i="5"/>
  <c r="G53" i="5"/>
  <c r="G47" i="5"/>
  <c r="G49" i="5" s="1"/>
  <c r="K15" i="4"/>
  <c r="K17" i="4" s="1"/>
  <c r="S20" i="4"/>
  <c r="M15" i="4"/>
  <c r="M17" i="4" s="1"/>
  <c r="G59" i="5" l="1"/>
  <c r="G66" i="5" s="1"/>
  <c r="J41" i="3" l="1"/>
  <c r="G41" i="3"/>
  <c r="J12" i="3"/>
  <c r="G12" i="3"/>
  <c r="I18" i="3"/>
  <c r="J24" i="3" s="1"/>
  <c r="F18" i="3"/>
  <c r="G24" i="3" s="1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G13" i="2" s="1"/>
  <c r="S48" i="4"/>
  <c r="S49" i="4"/>
  <c r="S50" i="4"/>
  <c r="S51" i="4"/>
  <c r="S53" i="4"/>
  <c r="S54" i="4"/>
  <c r="S55" i="4"/>
  <c r="S57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E13" i="2" s="1"/>
  <c r="Q48" i="4"/>
  <c r="Q49" i="4"/>
  <c r="Q50" i="4"/>
  <c r="Q51" i="4"/>
  <c r="Q53" i="4"/>
  <c r="Q54" i="4"/>
  <c r="Q55" i="4"/>
  <c r="Q57" i="4"/>
  <c r="O57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50" i="4"/>
  <c r="O51" i="4"/>
  <c r="O54" i="4"/>
  <c r="O55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Q20" i="4"/>
  <c r="O20" i="4"/>
  <c r="S14" i="4"/>
  <c r="G9" i="2" s="1"/>
  <c r="Q14" i="4"/>
  <c r="E9" i="2" s="1"/>
  <c r="O14" i="4"/>
  <c r="C9" i="2" s="1"/>
  <c r="S9" i="4"/>
  <c r="G7" i="2" s="1"/>
  <c r="Q9" i="4"/>
  <c r="E7" i="2" s="1"/>
  <c r="O9" i="4"/>
  <c r="C7" i="2" s="1"/>
  <c r="I17" i="4"/>
  <c r="C13" i="2" l="1"/>
  <c r="C17" i="2" s="1"/>
  <c r="C13" i="8"/>
  <c r="C17" i="8" s="1"/>
  <c r="I17" i="8" s="1"/>
  <c r="C11" i="2"/>
  <c r="G27" i="3"/>
  <c r="G35" i="3" s="1"/>
  <c r="J35" i="3"/>
  <c r="E11" i="2"/>
  <c r="G11" i="2"/>
  <c r="S17" i="4"/>
  <c r="Q17" i="4"/>
  <c r="E64" i="5"/>
  <c r="E57" i="5"/>
  <c r="E53" i="5"/>
  <c r="E47" i="5"/>
  <c r="E49" i="5" s="1"/>
  <c r="I21" i="8" l="1"/>
  <c r="I33" i="8" s="1"/>
  <c r="E41" i="8" s="1"/>
  <c r="E46" i="8" s="1"/>
  <c r="K17" i="8"/>
  <c r="G17" i="2"/>
  <c r="E17" i="2"/>
  <c r="E59" i="5"/>
  <c r="E66" i="5" s="1"/>
  <c r="D54" i="8" l="1"/>
  <c r="E54" i="8" s="1"/>
  <c r="D53" i="8"/>
  <c r="E53" i="8" s="1"/>
  <c r="D55" i="8"/>
  <c r="E55" i="8" s="1"/>
  <c r="D56" i="8"/>
  <c r="E56" i="8" s="1"/>
  <c r="D57" i="8"/>
  <c r="E57" i="8" s="1"/>
  <c r="D52" i="8"/>
  <c r="E52" i="8" s="1"/>
  <c r="I17" i="2"/>
  <c r="E58" i="8" l="1"/>
  <c r="E60" i="8"/>
  <c r="I21" i="2"/>
  <c r="E5" i="7" s="1"/>
  <c r="E10" i="7" s="1"/>
  <c r="D16" i="7" s="1"/>
  <c r="K17" i="2"/>
  <c r="D19" i="7" l="1"/>
  <c r="E19" i="7" s="1"/>
  <c r="D18" i="7"/>
  <c r="E18" i="7" s="1"/>
  <c r="D17" i="7"/>
  <c r="D20" i="7"/>
  <c r="E20" i="7" s="1"/>
  <c r="D21" i="7"/>
  <c r="E21" i="7" s="1"/>
  <c r="I24" i="7" l="1"/>
  <c r="E17" i="7"/>
  <c r="K17" i="7"/>
  <c r="K16" i="7"/>
  <c r="E16" i="7"/>
  <c r="E22" i="7" l="1"/>
  <c r="L16" i="7"/>
  <c r="N16" i="7"/>
  <c r="N17" i="7"/>
  <c r="L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Goulsbra ACCA</author>
  </authors>
  <commentList>
    <comment ref="I36" authorId="0" shapeId="0" xr:uid="{EE2E150B-3633-498C-B063-0A4547BC44E3}">
      <text>
        <r>
          <rPr>
            <b/>
            <sz val="9"/>
            <color indexed="81"/>
            <rFont val="Tahoma"/>
            <charset val="1"/>
          </rPr>
          <t xml:space="preserve">Website
</t>
        </r>
      </text>
    </comment>
    <comment ref="I40" authorId="0" shapeId="0" xr:uid="{2E72D0E2-E7E5-4F93-AC00-00312843AA15}">
      <text>
        <r>
          <rPr>
            <b/>
            <sz val="9"/>
            <color indexed="81"/>
            <rFont val="Tahoma"/>
            <charset val="1"/>
          </rPr>
          <t xml:space="preserve">Jaluch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44" authorId="0" shapeId="0" xr:uid="{B93606FB-6FAB-4A72-BD0F-0DDB8741C7A0}">
      <text>
        <r>
          <rPr>
            <b/>
            <sz val="9"/>
            <color indexed="81"/>
            <rFont val="Tahoma"/>
            <charset val="1"/>
          </rPr>
          <t xml:space="preserve">Office refurb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<sst xmlns="http://schemas.openxmlformats.org/spreadsheetml/2006/main" count="243" uniqueCount="109">
  <si>
    <t>EBITDA Business Valuation report</t>
  </si>
  <si>
    <t>for the board of directors</t>
  </si>
  <si>
    <t>Ebitda Financials</t>
  </si>
  <si>
    <t>£</t>
  </si>
  <si>
    <t>Balance sheet</t>
  </si>
  <si>
    <t>Detailed Profit &amp; Loss per accs</t>
  </si>
  <si>
    <t>Sales</t>
  </si>
  <si>
    <t>Turnover</t>
  </si>
  <si>
    <t>Cost of Sales</t>
  </si>
  <si>
    <t>Administrative Expenses</t>
  </si>
  <si>
    <t>Directors Salaries</t>
  </si>
  <si>
    <t>Directors NI</t>
  </si>
  <si>
    <t>Directors pension - defined contribution scheme</t>
  </si>
  <si>
    <t>Insurance</t>
  </si>
  <si>
    <t>Printing, postage and stationery</t>
  </si>
  <si>
    <t>Advertising and marketing costs</t>
  </si>
  <si>
    <t>Accountancy fees</t>
  </si>
  <si>
    <t>Bad debts written off</t>
  </si>
  <si>
    <t>Sundry expenses</t>
  </si>
  <si>
    <t>Other operating income</t>
  </si>
  <si>
    <t>GROSS PROFIT</t>
  </si>
  <si>
    <t>OPERATING PROFIT</t>
  </si>
  <si>
    <t>Interest payable and similar expenses</t>
  </si>
  <si>
    <t>Bank loan interest</t>
  </si>
  <si>
    <t>Other interest receivable and similar income</t>
  </si>
  <si>
    <t>Bank interest receivable</t>
  </si>
  <si>
    <t>PROFIT BEFORE TAXATION</t>
  </si>
  <si>
    <t xml:space="preserve">Tax on profit </t>
  </si>
  <si>
    <t>Corporation tax charge</t>
  </si>
  <si>
    <t>PROFIT AFTER TAXATION BEING PROFIT FOR THE</t>
  </si>
  <si>
    <t>FINANCIAL YEAR</t>
  </si>
  <si>
    <t>Wages and salaries</t>
  </si>
  <si>
    <t>Employers NI</t>
  </si>
  <si>
    <t>Employers pensions - defined contribution scheme</t>
  </si>
  <si>
    <t>Staff entertaining</t>
  </si>
  <si>
    <t>Vehicle running costs</t>
  </si>
  <si>
    <t>Ebitda workings</t>
  </si>
  <si>
    <t>adjustments</t>
  </si>
  <si>
    <t>Adjusted profit and loss</t>
  </si>
  <si>
    <t>Fixed Assets</t>
  </si>
  <si>
    <t>Intangible Assets</t>
  </si>
  <si>
    <t>Tangible Assets</t>
  </si>
  <si>
    <t>Current Assets</t>
  </si>
  <si>
    <t>Stocks</t>
  </si>
  <si>
    <t>Debtors</t>
  </si>
  <si>
    <t>Cash at bank and in hand</t>
  </si>
  <si>
    <t>Creditors: Amounts Falling Due within</t>
  </si>
  <si>
    <t>One Year</t>
  </si>
  <si>
    <t>Net Current Assets (Liabilities)</t>
  </si>
  <si>
    <t xml:space="preserve">Total Assets Less Current </t>
  </si>
  <si>
    <t xml:space="preserve">Liabilities </t>
  </si>
  <si>
    <t>Creditors: Amounts Falling Due after</t>
  </si>
  <si>
    <t>More than one year</t>
  </si>
  <si>
    <t>Provisions for liabilities</t>
  </si>
  <si>
    <t>Deferred Taxation</t>
  </si>
  <si>
    <t>Net Assets</t>
  </si>
  <si>
    <t>Capital and Reserves</t>
  </si>
  <si>
    <t>Called up share capital</t>
  </si>
  <si>
    <t>Profit and Loss Account</t>
  </si>
  <si>
    <t>Shareholders' Funds</t>
  </si>
  <si>
    <t>EBITDA</t>
  </si>
  <si>
    <t>EBITDA Multiple</t>
  </si>
  <si>
    <t>Avg Total</t>
  </si>
  <si>
    <t>Estimated value of company using EBITDA model</t>
  </si>
  <si>
    <t>Price of share - Breakdown</t>
  </si>
  <si>
    <t>Estimated value of company</t>
  </si>
  <si>
    <t>Shares in business</t>
  </si>
  <si>
    <t>Value per share</t>
  </si>
  <si>
    <t>Share breakdown and value of shareholding</t>
  </si>
  <si>
    <t>Number of shares</t>
  </si>
  <si>
    <t>Total value of shareholding (£)</t>
  </si>
  <si>
    <t>Value per share (£)</t>
  </si>
  <si>
    <t>Class of share</t>
  </si>
  <si>
    <t>View HR Limited</t>
  </si>
  <si>
    <t>Consultancy fees</t>
  </si>
  <si>
    <t>Other direct costs</t>
  </si>
  <si>
    <t>Other trading income</t>
  </si>
  <si>
    <t>Staff expenses</t>
  </si>
  <si>
    <t>Travel expenses</t>
  </si>
  <si>
    <t>Use of private residence</t>
  </si>
  <si>
    <t>Hire and leasing of motor vehicles</t>
  </si>
  <si>
    <t>Computer software costs</t>
  </si>
  <si>
    <t xml:space="preserve">Telecommunications  </t>
  </si>
  <si>
    <t>Professional fees</t>
  </si>
  <si>
    <t>Professional subscriptions</t>
  </si>
  <si>
    <t>Bank charges</t>
  </si>
  <si>
    <t>Charitable donations</t>
  </si>
  <si>
    <t>Other office costs</t>
  </si>
  <si>
    <t>Depreciation</t>
  </si>
  <si>
    <t xml:space="preserve">Deferred taxation - </t>
  </si>
  <si>
    <t>Staff training and welfare</t>
  </si>
  <si>
    <t>Gemma Murphy</t>
  </si>
  <si>
    <t>Sarah King</t>
  </si>
  <si>
    <t>Heidi Smith</t>
  </si>
  <si>
    <t>Ordinary</t>
  </si>
  <si>
    <t>Ordinary B</t>
  </si>
  <si>
    <t>Ordianry B</t>
  </si>
  <si>
    <t>Ordinary C</t>
  </si>
  <si>
    <t>Heidi</t>
  </si>
  <si>
    <t>Factors to reduce EBITDA</t>
  </si>
  <si>
    <t>Jaluch payment remaining</t>
  </si>
  <si>
    <t>Office refurbishment</t>
  </si>
  <si>
    <t>Website</t>
  </si>
  <si>
    <t>Possible replacement senior consultant</t>
  </si>
  <si>
    <t>Adjusted EBITDA</t>
  </si>
  <si>
    <t>Weighted EBITDA</t>
  </si>
  <si>
    <t>EBITDA multiple</t>
  </si>
  <si>
    <t>Heidi Share</t>
  </si>
  <si>
    <t>EBITDA Financials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</si>
</sst>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(\ #,##0\);_-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/>
    <xf numFmtId="0" fontId="1" fillId="0" borderId="0" xfId="0" applyFont="1"/>
    <xf numFmtId="3" fontId="0" fillId="0" borderId="1" xfId="0" applyNumberFormat="1" applyBorder="1"/>
    <xf numFmtId="3" fontId="0" fillId="0" borderId="2" xfId="0" applyNumberFormat="1" applyBorder="1"/>
    <xf numFmtId="164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3" fontId="0" fillId="0" borderId="7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4" fontId="0" fillId="0" borderId="0" xfId="0" applyNumberFormat="1"/>
    <xf numFmtId="3" fontId="0" fillId="0" borderId="13" xfId="0" applyNumberFormat="1" applyBorder="1"/>
    <xf numFmtId="3" fontId="0" fillId="0" borderId="14" xfId="0" applyNumberFormat="1" applyBorder="1"/>
    <xf numFmtId="4" fontId="0" fillId="0" borderId="1" xfId="0" applyNumberFormat="1" applyBorder="1"/>
    <xf numFmtId="9" fontId="0" fillId="0" borderId="0" xfId="0" applyNumberFormat="1"/>
    <xf numFmtId="17" fontId="1" fillId="0" borderId="0" xfId="0" applyNumberFormat="1" applyFont="1"/>
    <xf numFmtId="3" fontId="0" fillId="0" borderId="15" xfId="0" applyNumberFormat="1" applyBorder="1"/>
    <xf numFmtId="3" fontId="0" fillId="0" borderId="16" xfId="0" applyNumberFormat="1" applyBorder="1"/>
    <xf numFmtId="164" fontId="0" fillId="0" borderId="17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4C7D-CA46-420C-91A2-FA11A776152A}">
  <dimension ref="D11:G13"/>
  <sheetViews>
    <sheetView tabSelected="1" workbookViewId="0">
      <selection activeCell="D12" sqref="D12:F12"/>
    </sheetView>
  </sheetViews>
  <sheetFormatPr defaultRowHeight="14.5" x14ac:dyDescent="0.35"/>
  <cols>
    <col min="4" max="4" width="10.453125" customWidth="1"/>
  </cols>
  <sheetData>
    <row r="11" spans="4:7" x14ac:dyDescent="0.35">
      <c r="D11" s="34" t="s">
        <v>73</v>
      </c>
      <c r="E11" s="34"/>
      <c r="F11" s="34"/>
      <c r="G11" s="1"/>
    </row>
    <row r="12" spans="4:7" x14ac:dyDescent="0.35">
      <c r="D12" s="34" t="s">
        <v>0</v>
      </c>
      <c r="E12" s="34"/>
      <c r="F12" s="34"/>
      <c r="G12" s="1"/>
    </row>
    <row r="13" spans="4:7" x14ac:dyDescent="0.35">
      <c r="D13" s="34" t="s">
        <v>1</v>
      </c>
      <c r="E13" s="34"/>
      <c r="F13" s="34"/>
      <c r="G13" s="1"/>
    </row>
  </sheetData>
  <mergeCells count="3">
    <mergeCell ref="D11:F11"/>
    <mergeCell ref="D12:F12"/>
    <mergeCell ref="D13:F1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2314-E263-4D52-9291-5CE1F8E964A0}">
  <dimension ref="A1:P33"/>
  <sheetViews>
    <sheetView tabSelected="1" zoomScaleNormal="100" workbookViewId="0">
      <selection activeCell="D12" sqref="D12:F12"/>
    </sheetView>
  </sheetViews>
  <sheetFormatPr defaultRowHeight="14.5" x14ac:dyDescent="0.35"/>
  <cols>
    <col min="1" max="1" width="21.453125" bestFit="1" customWidth="1"/>
    <col min="3" max="3" width="9.453125" bestFit="1" customWidth="1"/>
    <col min="4" max="4" width="4.26953125" customWidth="1"/>
    <col min="5" max="5" width="9.453125" bestFit="1" customWidth="1"/>
    <col min="6" max="6" width="4.26953125" customWidth="1"/>
    <col min="7" max="7" width="9.453125" bestFit="1" customWidth="1"/>
  </cols>
  <sheetData>
    <row r="1" spans="1:9" x14ac:dyDescent="0.35">
      <c r="A1" t="str">
        <f>Cover!D11</f>
        <v>View HR Limited</v>
      </c>
    </row>
    <row r="2" spans="1:9" x14ac:dyDescent="0.35">
      <c r="A2" t="s">
        <v>108</v>
      </c>
    </row>
    <row r="4" spans="1:9" x14ac:dyDescent="0.35">
      <c r="C4" s="2">
        <v>2025</v>
      </c>
      <c r="D4" s="2"/>
      <c r="E4" s="2">
        <v>2024</v>
      </c>
      <c r="F4" s="2"/>
      <c r="G4" s="2">
        <v>2023</v>
      </c>
      <c r="I4" s="4" t="s">
        <v>62</v>
      </c>
    </row>
    <row r="5" spans="1:9" x14ac:dyDescent="0.35">
      <c r="C5" s="2" t="s">
        <v>3</v>
      </c>
      <c r="D5" s="2"/>
      <c r="E5" s="2" t="s">
        <v>3</v>
      </c>
      <c r="F5" s="2"/>
      <c r="G5" s="2" t="s">
        <v>3</v>
      </c>
    </row>
    <row r="7" spans="1:9" x14ac:dyDescent="0.35">
      <c r="A7" t="s">
        <v>7</v>
      </c>
      <c r="C7" s="3">
        <f>'Ebitda workings'!O9</f>
        <v>859085</v>
      </c>
      <c r="E7" s="3">
        <f>'Ebitda workings'!Q9</f>
        <v>664804</v>
      </c>
      <c r="G7" s="3">
        <f>'Ebitda workings'!S9</f>
        <v>549888</v>
      </c>
    </row>
    <row r="9" spans="1:9" x14ac:dyDescent="0.35">
      <c r="A9" t="s">
        <v>8</v>
      </c>
      <c r="C9" s="7">
        <f>'Ebitda workings'!O15</f>
        <v>-46743</v>
      </c>
      <c r="E9" s="7">
        <f>'Ebitda workings'!Q15</f>
        <v>-57960</v>
      </c>
      <c r="G9" s="7">
        <f>'Ebitda workings'!S15</f>
        <v>-48569</v>
      </c>
    </row>
    <row r="11" spans="1:9" ht="15" thickBot="1" x14ac:dyDescent="0.4">
      <c r="A11" s="4" t="s">
        <v>20</v>
      </c>
      <c r="C11" s="26">
        <f>SUM(C7:C10)</f>
        <v>812342</v>
      </c>
      <c r="E11" s="26">
        <f>SUM(E7:E10)</f>
        <v>606844</v>
      </c>
      <c r="G11" s="26">
        <f>SUM(G7:G10)</f>
        <v>501319</v>
      </c>
    </row>
    <row r="13" spans="1:9" x14ac:dyDescent="0.35">
      <c r="A13" t="s">
        <v>9</v>
      </c>
      <c r="C13" s="7">
        <f>'Ebitda workings'!O47</f>
        <v>-589651.2333333334</v>
      </c>
      <c r="E13" s="7">
        <f>'Ebitda workings'!Q47</f>
        <v>-329250.8</v>
      </c>
      <c r="G13" s="7">
        <f>'Ebitda workings'!S47</f>
        <v>-266856.8</v>
      </c>
    </row>
    <row r="15" spans="1:9" x14ac:dyDescent="0.35">
      <c r="A15" t="s">
        <v>19</v>
      </c>
      <c r="C15" s="3">
        <f>'Ebitda workings'!O10</f>
        <v>462</v>
      </c>
      <c r="E15" s="3">
        <f>'Ebitda workings'!Q10</f>
        <v>900</v>
      </c>
      <c r="G15" s="3">
        <f>'Ebitda workings'!S10</f>
        <v>420</v>
      </c>
    </row>
    <row r="17" spans="1:16" ht="15" thickBot="1" x14ac:dyDescent="0.4">
      <c r="A17" s="4" t="s">
        <v>60</v>
      </c>
      <c r="C17" s="27">
        <f>SUM(C11:C16)</f>
        <v>223152.7666666666</v>
      </c>
      <c r="E17" s="27">
        <f>SUM(E11:E16)</f>
        <v>278493.2</v>
      </c>
      <c r="G17" s="27">
        <f>SUM(G11:G16)</f>
        <v>234882.2</v>
      </c>
      <c r="I17" s="3">
        <f>SUM(C17:G17)/3</f>
        <v>245509.38888888888</v>
      </c>
      <c r="K17">
        <f>I17*2.215</f>
        <v>543803.29638888885</v>
      </c>
      <c r="L17" s="3"/>
      <c r="M17" s="3"/>
      <c r="N17" s="3"/>
      <c r="O17" s="3"/>
      <c r="P17" s="3"/>
    </row>
    <row r="18" spans="1:16" ht="15" thickTop="1" x14ac:dyDescent="0.35"/>
    <row r="19" spans="1:16" x14ac:dyDescent="0.35">
      <c r="A19" t="s">
        <v>61</v>
      </c>
      <c r="C19">
        <v>1</v>
      </c>
      <c r="E19">
        <v>2</v>
      </c>
      <c r="G19">
        <v>3</v>
      </c>
      <c r="I19">
        <v>2</v>
      </c>
    </row>
    <row r="21" spans="1:16" ht="15" thickBot="1" x14ac:dyDescent="0.4">
      <c r="A21" t="s">
        <v>63</v>
      </c>
      <c r="I21" s="27">
        <f>I17*I19</f>
        <v>491018.77777777775</v>
      </c>
      <c r="P21" s="3"/>
    </row>
    <row r="22" spans="1:16" ht="15" thickTop="1" x14ac:dyDescent="0.35"/>
    <row r="25" spans="1:16" x14ac:dyDescent="0.35">
      <c r="I25" s="3"/>
    </row>
    <row r="27" spans="1:16" x14ac:dyDescent="0.35">
      <c r="I27" s="3"/>
    </row>
    <row r="29" spans="1:16" x14ac:dyDescent="0.35">
      <c r="I29" s="3"/>
    </row>
    <row r="31" spans="1:16" x14ac:dyDescent="0.35">
      <c r="I31" s="3"/>
    </row>
    <row r="33" spans="9:9" x14ac:dyDescent="0.35">
      <c r="I33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DB21-6E03-47D8-9589-6A42774B29B0}">
  <sheetPr>
    <pageSetUpPr fitToPage="1"/>
  </sheetPr>
  <dimension ref="A1:N24"/>
  <sheetViews>
    <sheetView tabSelected="1" zoomScaleNormal="100" workbookViewId="0">
      <selection activeCell="D12" sqref="D12:F12"/>
    </sheetView>
  </sheetViews>
  <sheetFormatPr defaultRowHeight="14.5" x14ac:dyDescent="0.35"/>
  <cols>
    <col min="1" max="1" width="25" customWidth="1"/>
    <col min="2" max="3" width="18.26953125" customWidth="1"/>
    <col min="4" max="4" width="17.453125" customWidth="1"/>
    <col min="5" max="5" width="27.1796875" customWidth="1"/>
    <col min="9" max="9" width="10.1796875" bestFit="1" customWidth="1"/>
    <col min="12" max="12" width="16.7265625" bestFit="1" customWidth="1"/>
  </cols>
  <sheetData>
    <row r="1" spans="1:14" x14ac:dyDescent="0.35">
      <c r="A1" t="str">
        <f>Cover!D11</f>
        <v>View HR Limited</v>
      </c>
    </row>
    <row r="2" spans="1:14" x14ac:dyDescent="0.35">
      <c r="A2" t="s">
        <v>64</v>
      </c>
    </row>
    <row r="4" spans="1:14" x14ac:dyDescent="0.35">
      <c r="E4" s="1" t="s">
        <v>3</v>
      </c>
    </row>
    <row r="5" spans="1:14" x14ac:dyDescent="0.35">
      <c r="A5" t="s">
        <v>65</v>
      </c>
      <c r="E5" s="3">
        <f>Ebitda!I21</f>
        <v>491018.77777777775</v>
      </c>
    </row>
    <row r="8" spans="1:14" x14ac:dyDescent="0.35">
      <c r="A8" t="s">
        <v>66</v>
      </c>
      <c r="E8" s="3">
        <v>310</v>
      </c>
    </row>
    <row r="10" spans="1:14" x14ac:dyDescent="0.35">
      <c r="A10" t="s">
        <v>67</v>
      </c>
      <c r="E10" s="25">
        <f>E5/E8</f>
        <v>1583.9315412186379</v>
      </c>
    </row>
    <row r="13" spans="1:14" x14ac:dyDescent="0.35">
      <c r="A13" s="4" t="s">
        <v>68</v>
      </c>
    </row>
    <row r="14" spans="1:14" x14ac:dyDescent="0.35">
      <c r="A14" s="4"/>
      <c r="B14" t="s">
        <v>69</v>
      </c>
      <c r="C14" t="s">
        <v>72</v>
      </c>
      <c r="D14" t="s">
        <v>71</v>
      </c>
      <c r="E14" t="s">
        <v>70</v>
      </c>
    </row>
    <row r="15" spans="1:14" x14ac:dyDescent="0.35">
      <c r="A15" s="4"/>
    </row>
    <row r="16" spans="1:14" x14ac:dyDescent="0.35">
      <c r="A16" t="s">
        <v>91</v>
      </c>
      <c r="B16" s="3">
        <v>91</v>
      </c>
      <c r="C16" s="3" t="s">
        <v>94</v>
      </c>
      <c r="D16" s="25">
        <f>$E$10</f>
        <v>1583.9315412186379</v>
      </c>
      <c r="E16" s="3">
        <f>B16*D16</f>
        <v>144137.77025089605</v>
      </c>
      <c r="H16">
        <f>200000</f>
        <v>200000</v>
      </c>
      <c r="I16" s="25">
        <f>H16/(B16+B17)*B16</f>
        <v>101111.11111111111</v>
      </c>
      <c r="K16" s="25">
        <f>I16/D16</f>
        <v>63.835531069302853</v>
      </c>
      <c r="L16" s="3">
        <f>B16-K16</f>
        <v>27.164468930697147</v>
      </c>
      <c r="N16" s="29">
        <f>K16/B16</f>
        <v>0.7014893524099215</v>
      </c>
    </row>
    <row r="17" spans="1:14" x14ac:dyDescent="0.35">
      <c r="A17" t="s">
        <v>92</v>
      </c>
      <c r="B17" s="3">
        <v>89</v>
      </c>
      <c r="C17" s="3" t="s">
        <v>94</v>
      </c>
      <c r="D17" s="25">
        <f t="shared" ref="D17:D21" si="0">$E$10</f>
        <v>1583.9315412186379</v>
      </c>
      <c r="E17" s="3">
        <f>(B17*D17)-1</f>
        <v>140968.90716845877</v>
      </c>
      <c r="I17" s="28">
        <f>H16/(B16+B17)*B17</f>
        <v>98888.888888888891</v>
      </c>
      <c r="K17" s="25">
        <f>I17/D17</f>
        <v>62.432552364483008</v>
      </c>
      <c r="L17" s="3">
        <f>B17-K17</f>
        <v>26.567447635516992</v>
      </c>
      <c r="N17" s="29">
        <f>K17/B17</f>
        <v>0.7014893524099215</v>
      </c>
    </row>
    <row r="18" spans="1:14" x14ac:dyDescent="0.35">
      <c r="A18" t="s">
        <v>93</v>
      </c>
      <c r="B18" s="3">
        <v>20</v>
      </c>
      <c r="C18" s="3" t="s">
        <v>94</v>
      </c>
      <c r="D18" s="25">
        <f t="shared" si="0"/>
        <v>1583.9315412186379</v>
      </c>
      <c r="E18" s="3">
        <f t="shared" ref="E18:E21" si="1">B18*D18</f>
        <v>31678.630824372758</v>
      </c>
      <c r="I18" s="25"/>
      <c r="K18" s="25"/>
      <c r="L18" s="3"/>
      <c r="N18" s="29"/>
    </row>
    <row r="19" spans="1:14" x14ac:dyDescent="0.35">
      <c r="A19" t="s">
        <v>91</v>
      </c>
      <c r="B19" s="3">
        <v>50</v>
      </c>
      <c r="C19" s="3" t="s">
        <v>95</v>
      </c>
      <c r="D19" s="25">
        <f t="shared" si="0"/>
        <v>1583.9315412186379</v>
      </c>
      <c r="E19" s="3">
        <f t="shared" si="1"/>
        <v>79196.577060931901</v>
      </c>
      <c r="I19" s="25"/>
      <c r="K19" s="25"/>
      <c r="L19" s="3"/>
      <c r="N19" s="29"/>
    </row>
    <row r="20" spans="1:14" x14ac:dyDescent="0.35">
      <c r="A20" t="s">
        <v>92</v>
      </c>
      <c r="B20" s="3">
        <v>50</v>
      </c>
      <c r="C20" s="3" t="s">
        <v>95</v>
      </c>
      <c r="D20" s="25">
        <f t="shared" si="0"/>
        <v>1583.9315412186379</v>
      </c>
      <c r="E20" s="3">
        <f t="shared" si="1"/>
        <v>79196.577060931901</v>
      </c>
      <c r="I20" s="25">
        <f>SUM(I16:I17)</f>
        <v>200000</v>
      </c>
    </row>
    <row r="21" spans="1:14" x14ac:dyDescent="0.35">
      <c r="A21" t="s">
        <v>93</v>
      </c>
      <c r="B21" s="5">
        <v>10</v>
      </c>
      <c r="C21" s="3" t="s">
        <v>97</v>
      </c>
      <c r="D21" s="25">
        <f t="shared" si="0"/>
        <v>1583.9315412186379</v>
      </c>
      <c r="E21" s="5">
        <f t="shared" si="1"/>
        <v>15839.315412186379</v>
      </c>
    </row>
    <row r="22" spans="1:14" x14ac:dyDescent="0.35">
      <c r="B22" s="3">
        <f>SUM(B16:B21)</f>
        <v>310</v>
      </c>
      <c r="C22" s="3"/>
      <c r="E22" s="3">
        <f>SUM(E16:E21)</f>
        <v>491017.77777777769</v>
      </c>
    </row>
    <row r="24" spans="1:14" x14ac:dyDescent="0.35">
      <c r="B24" s="29">
        <f>(B21+B18)/B22</f>
        <v>9.6774193548387094E-2</v>
      </c>
      <c r="H24" t="s">
        <v>98</v>
      </c>
      <c r="I24" s="3">
        <f>E18+E21</f>
        <v>47517.946236559139</v>
      </c>
    </row>
  </sheetData>
  <pageMargins left="0.7" right="0.7" top="0.75" bottom="0.75" header="0.3" footer="0.3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A73F-E07C-421B-B708-4171D2E08B17}">
  <dimension ref="A1:H67"/>
  <sheetViews>
    <sheetView tabSelected="1" topLeftCell="A45" workbookViewId="0">
      <selection activeCell="D12" sqref="D12:F12"/>
    </sheetView>
  </sheetViews>
  <sheetFormatPr defaultRowHeight="14.5" x14ac:dyDescent="0.35"/>
  <cols>
    <col min="1" max="1" width="47.1796875" customWidth="1"/>
    <col min="2" max="2" width="4.26953125" customWidth="1"/>
    <col min="3" max="3" width="9.453125" bestFit="1" customWidth="1"/>
    <col min="4" max="4" width="4.26953125" customWidth="1"/>
    <col min="5" max="5" width="9.453125" bestFit="1" customWidth="1"/>
    <col min="6" max="6" width="4.26953125" customWidth="1"/>
    <col min="7" max="7" width="9.81640625" customWidth="1"/>
    <col min="8" max="8" width="4.26953125" customWidth="1"/>
  </cols>
  <sheetData>
    <row r="1" spans="1:8" x14ac:dyDescent="0.35">
      <c r="A1" t="s">
        <v>73</v>
      </c>
    </row>
    <row r="2" spans="1:8" x14ac:dyDescent="0.35">
      <c r="A2" t="s">
        <v>108</v>
      </c>
    </row>
    <row r="3" spans="1:8" x14ac:dyDescent="0.35">
      <c r="A3" t="s">
        <v>5</v>
      </c>
    </row>
    <row r="5" spans="1:8" x14ac:dyDescent="0.35">
      <c r="B5" s="2"/>
      <c r="C5" s="2">
        <v>2025</v>
      </c>
      <c r="D5" s="2"/>
      <c r="E5" s="2">
        <v>2024</v>
      </c>
      <c r="F5" s="2"/>
      <c r="G5" s="2">
        <v>2023</v>
      </c>
      <c r="H5" s="2"/>
    </row>
    <row r="6" spans="1:8" x14ac:dyDescent="0.35">
      <c r="B6" s="2"/>
      <c r="C6" s="2" t="s">
        <v>3</v>
      </c>
      <c r="D6" s="2"/>
      <c r="E6" s="2" t="s">
        <v>3</v>
      </c>
      <c r="F6" s="2"/>
      <c r="G6" s="2" t="s">
        <v>3</v>
      </c>
      <c r="H6" s="2"/>
    </row>
    <row r="7" spans="1:8" x14ac:dyDescent="0.35">
      <c r="B7" s="2"/>
      <c r="C7" s="2"/>
      <c r="D7" s="2"/>
      <c r="E7" s="2"/>
      <c r="F7" s="2"/>
      <c r="G7" s="2"/>
      <c r="H7" s="2"/>
    </row>
    <row r="8" spans="1:8" x14ac:dyDescent="0.35">
      <c r="A8" s="4" t="s">
        <v>7</v>
      </c>
    </row>
    <row r="9" spans="1:8" x14ac:dyDescent="0.35">
      <c r="A9" t="s">
        <v>6</v>
      </c>
      <c r="B9" s="3"/>
      <c r="C9" s="3">
        <v>859085</v>
      </c>
      <c r="D9" s="3"/>
      <c r="E9" s="3">
        <v>664804</v>
      </c>
      <c r="F9" s="3"/>
      <c r="G9" s="3">
        <v>549888</v>
      </c>
      <c r="H9" s="3"/>
    </row>
    <row r="10" spans="1:8" x14ac:dyDescent="0.35">
      <c r="A10" t="s">
        <v>76</v>
      </c>
      <c r="B10" s="3"/>
      <c r="C10" s="3">
        <v>462</v>
      </c>
      <c r="D10" s="3"/>
      <c r="E10" s="3">
        <v>900</v>
      </c>
      <c r="F10" s="3"/>
      <c r="G10" s="3">
        <v>420</v>
      </c>
      <c r="H10" s="3"/>
    </row>
    <row r="11" spans="1:8" x14ac:dyDescent="0.35">
      <c r="B11" s="3"/>
      <c r="C11" s="3"/>
      <c r="D11" s="3"/>
      <c r="E11" s="3"/>
      <c r="F11" s="3"/>
      <c r="G11" s="3"/>
      <c r="H11" s="3"/>
    </row>
    <row r="12" spans="1:8" x14ac:dyDescent="0.35">
      <c r="A12" s="4" t="s">
        <v>8</v>
      </c>
      <c r="B12" s="3"/>
      <c r="C12" s="3"/>
      <c r="D12" s="3"/>
      <c r="E12" s="3"/>
      <c r="F12" s="3"/>
      <c r="G12" s="3"/>
      <c r="H12" s="3"/>
    </row>
    <row r="13" spans="1:8" x14ac:dyDescent="0.35">
      <c r="A13" t="s">
        <v>74</v>
      </c>
      <c r="B13" s="3"/>
      <c r="C13" s="3">
        <v>43040</v>
      </c>
      <c r="D13" s="3"/>
      <c r="E13" s="3">
        <v>50418</v>
      </c>
      <c r="F13" s="3"/>
      <c r="G13" s="3">
        <v>43732</v>
      </c>
      <c r="H13" s="3"/>
    </row>
    <row r="14" spans="1:8" x14ac:dyDescent="0.35">
      <c r="A14" t="s">
        <v>75</v>
      </c>
      <c r="B14" s="3"/>
      <c r="C14" s="5">
        <v>3703</v>
      </c>
      <c r="D14" s="3"/>
      <c r="E14" s="5">
        <v>7542</v>
      </c>
      <c r="F14" s="3"/>
      <c r="G14" s="5">
        <v>4837</v>
      </c>
      <c r="H14" s="3"/>
    </row>
    <row r="15" spans="1:8" x14ac:dyDescent="0.35">
      <c r="B15" s="3"/>
      <c r="C15" s="7">
        <f>-SUM(C13:C14)</f>
        <v>-46743</v>
      </c>
      <c r="D15" s="3"/>
      <c r="E15" s="7">
        <f>-SUM(E13:E14)</f>
        <v>-57960</v>
      </c>
      <c r="F15" s="3"/>
      <c r="G15" s="7">
        <f>-SUM(G13:G14)</f>
        <v>-48569</v>
      </c>
      <c r="H15" s="3"/>
    </row>
    <row r="16" spans="1:8" x14ac:dyDescent="0.35">
      <c r="B16" s="3"/>
      <c r="C16" s="7"/>
      <c r="D16" s="3"/>
      <c r="E16" s="7"/>
      <c r="F16" s="3"/>
      <c r="G16" s="7"/>
      <c r="H16" s="3"/>
    </row>
    <row r="17" spans="1:8" x14ac:dyDescent="0.35">
      <c r="A17" s="4" t="s">
        <v>20</v>
      </c>
      <c r="B17" s="3"/>
      <c r="C17" s="3">
        <f>C9+C15+C10</f>
        <v>812804</v>
      </c>
      <c r="D17" s="3"/>
      <c r="E17" s="3">
        <f>E9+E15+E10</f>
        <v>607744</v>
      </c>
      <c r="F17" s="3"/>
      <c r="G17" s="3">
        <f>G9+G15+G10</f>
        <v>501739</v>
      </c>
      <c r="H17" s="3"/>
    </row>
    <row r="18" spans="1:8" x14ac:dyDescent="0.35">
      <c r="B18" s="3"/>
      <c r="C18" s="3"/>
      <c r="D18" s="3"/>
      <c r="E18" s="3"/>
      <c r="F18" s="3"/>
      <c r="G18" s="3"/>
      <c r="H18" s="3"/>
    </row>
    <row r="19" spans="1:8" x14ac:dyDescent="0.35">
      <c r="A19" s="4" t="s">
        <v>9</v>
      </c>
      <c r="B19" s="3"/>
      <c r="C19" s="3"/>
      <c r="D19" s="3"/>
      <c r="E19" s="3"/>
      <c r="F19" s="3"/>
      <c r="G19" s="3"/>
      <c r="H19" s="3"/>
    </row>
    <row r="20" spans="1:8" x14ac:dyDescent="0.35">
      <c r="A20" t="s">
        <v>10</v>
      </c>
      <c r="B20" s="3"/>
      <c r="C20" s="3">
        <v>61020</v>
      </c>
      <c r="D20" s="3"/>
      <c r="E20" s="3">
        <v>61020</v>
      </c>
      <c r="F20" s="3"/>
      <c r="G20" s="3">
        <v>60059</v>
      </c>
      <c r="H20" s="3"/>
    </row>
    <row r="21" spans="1:8" x14ac:dyDescent="0.35">
      <c r="A21" t="s">
        <v>11</v>
      </c>
      <c r="B21" s="3"/>
      <c r="C21" s="3">
        <v>4731</v>
      </c>
      <c r="D21" s="3"/>
      <c r="E21" s="3">
        <v>4653</v>
      </c>
      <c r="F21" s="3"/>
      <c r="G21" s="3">
        <v>4667</v>
      </c>
      <c r="H21" s="3"/>
    </row>
    <row r="22" spans="1:8" x14ac:dyDescent="0.35">
      <c r="A22" t="s">
        <v>12</v>
      </c>
      <c r="B22" s="3"/>
      <c r="C22" s="3">
        <v>30489</v>
      </c>
      <c r="D22" s="3"/>
      <c r="E22" s="3">
        <v>25989</v>
      </c>
      <c r="F22" s="3"/>
      <c r="G22" s="3">
        <v>889</v>
      </c>
      <c r="H22" s="3"/>
    </row>
    <row r="23" spans="1:8" x14ac:dyDescent="0.35">
      <c r="A23" t="s">
        <v>31</v>
      </c>
      <c r="B23" s="3"/>
      <c r="C23" s="3">
        <v>215947</v>
      </c>
      <c r="D23" s="3"/>
      <c r="E23" s="3">
        <v>142885</v>
      </c>
      <c r="F23" s="3"/>
      <c r="G23" s="3">
        <v>110407</v>
      </c>
      <c r="H23" s="3"/>
    </row>
    <row r="24" spans="1:8" x14ac:dyDescent="0.35">
      <c r="A24" t="s">
        <v>32</v>
      </c>
      <c r="B24" s="3"/>
      <c r="C24" s="3">
        <v>17865</v>
      </c>
      <c r="D24" s="3"/>
      <c r="E24" s="3">
        <v>9194</v>
      </c>
      <c r="F24" s="3"/>
      <c r="G24" s="3">
        <v>5297</v>
      </c>
      <c r="H24" s="3"/>
    </row>
    <row r="25" spans="1:8" x14ac:dyDescent="0.35">
      <c r="A25" t="s">
        <v>33</v>
      </c>
      <c r="B25" s="3"/>
      <c r="C25" s="3">
        <v>4697</v>
      </c>
      <c r="D25" s="3"/>
      <c r="E25" s="3">
        <v>3164</v>
      </c>
      <c r="F25" s="3"/>
      <c r="G25" s="3">
        <v>2178</v>
      </c>
      <c r="H25" s="3"/>
    </row>
    <row r="26" spans="1:8" x14ac:dyDescent="0.35">
      <c r="A26" t="s">
        <v>90</v>
      </c>
      <c r="B26" s="3"/>
      <c r="C26" s="3">
        <v>7970</v>
      </c>
      <c r="D26" s="3"/>
      <c r="E26" s="3">
        <v>8781</v>
      </c>
      <c r="F26" s="3"/>
      <c r="G26" s="3">
        <v>2283</v>
      </c>
      <c r="H26" s="3"/>
    </row>
    <row r="27" spans="1:8" x14ac:dyDescent="0.35">
      <c r="A27" t="s">
        <v>34</v>
      </c>
      <c r="B27" s="3"/>
      <c r="C27" s="3">
        <v>6407</v>
      </c>
      <c r="D27" s="3"/>
      <c r="E27" s="3">
        <v>8608</v>
      </c>
      <c r="F27" s="3"/>
      <c r="G27" s="3">
        <v>8358</v>
      </c>
      <c r="H27" s="3"/>
    </row>
    <row r="28" spans="1:8" x14ac:dyDescent="0.35">
      <c r="A28" t="s">
        <v>77</v>
      </c>
      <c r="B28" s="3"/>
      <c r="C28" s="3">
        <v>741</v>
      </c>
      <c r="D28" s="3"/>
      <c r="E28" s="3">
        <v>2399</v>
      </c>
      <c r="F28" s="3"/>
      <c r="G28" s="3">
        <v>7460</v>
      </c>
      <c r="H28" s="3"/>
    </row>
    <row r="29" spans="1:8" x14ac:dyDescent="0.35">
      <c r="A29" t="s">
        <v>78</v>
      </c>
      <c r="B29" s="3"/>
      <c r="C29" s="3">
        <v>4598</v>
      </c>
      <c r="D29" s="3"/>
      <c r="E29" s="3">
        <v>3494</v>
      </c>
      <c r="F29" s="3"/>
      <c r="G29" s="3">
        <f>260+2799</f>
        <v>3059</v>
      </c>
      <c r="H29" s="3"/>
    </row>
    <row r="30" spans="1:8" x14ac:dyDescent="0.35">
      <c r="A30" t="s">
        <v>79</v>
      </c>
      <c r="B30" s="3"/>
      <c r="C30" s="3">
        <v>1142</v>
      </c>
      <c r="D30" s="3"/>
      <c r="E30" s="3">
        <v>700</v>
      </c>
      <c r="F30" s="3"/>
      <c r="G30" s="3">
        <v>840</v>
      </c>
      <c r="H30" s="3"/>
    </row>
    <row r="31" spans="1:8" x14ac:dyDescent="0.35">
      <c r="A31" t="s">
        <v>80</v>
      </c>
      <c r="B31" s="3"/>
      <c r="C31" s="3">
        <v>14592</v>
      </c>
      <c r="D31" s="3"/>
      <c r="E31" s="3">
        <v>14592</v>
      </c>
      <c r="F31" s="3"/>
      <c r="G31" s="3">
        <v>22662</v>
      </c>
      <c r="H31" s="3"/>
    </row>
    <row r="32" spans="1:8" x14ac:dyDescent="0.35">
      <c r="A32" t="s">
        <v>35</v>
      </c>
      <c r="B32" s="3"/>
      <c r="C32" s="3">
        <v>3357</v>
      </c>
      <c r="D32" s="3"/>
      <c r="E32" s="3">
        <v>7369</v>
      </c>
      <c r="F32" s="3"/>
      <c r="G32" s="3">
        <v>8180</v>
      </c>
      <c r="H32" s="3"/>
    </row>
    <row r="33" spans="1:8" x14ac:dyDescent="0.35">
      <c r="A33" t="s">
        <v>81</v>
      </c>
      <c r="B33" s="3"/>
      <c r="C33" s="3">
        <v>16401</v>
      </c>
      <c r="D33" s="3"/>
      <c r="E33" s="3">
        <v>8956</v>
      </c>
      <c r="F33" s="3"/>
      <c r="G33" s="3">
        <v>5943</v>
      </c>
      <c r="H33" s="3"/>
    </row>
    <row r="34" spans="1:8" x14ac:dyDescent="0.35">
      <c r="A34" t="s">
        <v>13</v>
      </c>
      <c r="B34" s="3"/>
      <c r="C34" s="3">
        <v>11332</v>
      </c>
      <c r="D34" s="3"/>
      <c r="E34" s="3">
        <v>6899</v>
      </c>
      <c r="F34" s="3"/>
      <c r="G34" s="3">
        <v>5131</v>
      </c>
      <c r="H34" s="3"/>
    </row>
    <row r="35" spans="1:8" x14ac:dyDescent="0.35">
      <c r="A35" t="s">
        <v>14</v>
      </c>
      <c r="B35" s="3"/>
      <c r="C35" s="3">
        <v>961</v>
      </c>
      <c r="D35" s="3"/>
      <c r="E35" s="3">
        <v>499</v>
      </c>
      <c r="F35" s="3"/>
      <c r="G35" s="3">
        <v>106</v>
      </c>
      <c r="H35" s="3"/>
    </row>
    <row r="36" spans="1:8" x14ac:dyDescent="0.35">
      <c r="A36" t="s">
        <v>15</v>
      </c>
      <c r="B36" s="3"/>
      <c r="C36" s="8">
        <v>30445</v>
      </c>
      <c r="D36" s="3"/>
      <c r="E36" s="8">
        <v>19751</v>
      </c>
      <c r="F36" s="3"/>
      <c r="G36" s="8">
        <v>13930</v>
      </c>
      <c r="H36" s="3"/>
    </row>
    <row r="37" spans="1:8" x14ac:dyDescent="0.35">
      <c r="A37" t="s">
        <v>82</v>
      </c>
      <c r="B37" s="3"/>
      <c r="C37" s="8">
        <v>7024</v>
      </c>
      <c r="D37" s="3"/>
      <c r="E37" s="8">
        <v>5202</v>
      </c>
      <c r="F37" s="3"/>
      <c r="G37" s="8">
        <v>3788</v>
      </c>
      <c r="H37" s="3"/>
    </row>
    <row r="38" spans="1:8" x14ac:dyDescent="0.35">
      <c r="A38" t="s">
        <v>16</v>
      </c>
      <c r="B38" s="3"/>
      <c r="C38" s="8">
        <v>4381</v>
      </c>
      <c r="D38" s="3"/>
      <c r="E38" s="8">
        <v>3191</v>
      </c>
      <c r="F38" s="3"/>
      <c r="G38" s="8">
        <v>6591</v>
      </c>
      <c r="H38" s="3"/>
    </row>
    <row r="39" spans="1:8" x14ac:dyDescent="0.35">
      <c r="A39" t="s">
        <v>83</v>
      </c>
      <c r="B39" s="3"/>
      <c r="C39" s="8">
        <v>1129</v>
      </c>
      <c r="D39" s="3"/>
      <c r="E39" s="8">
        <v>2152</v>
      </c>
      <c r="F39" s="3"/>
      <c r="G39" s="8">
        <v>2410</v>
      </c>
      <c r="H39" s="3"/>
    </row>
    <row r="40" spans="1:8" x14ac:dyDescent="0.35">
      <c r="A40" t="s">
        <v>84</v>
      </c>
      <c r="B40" s="3"/>
      <c r="C40" s="8">
        <v>43426</v>
      </c>
      <c r="D40" s="3"/>
      <c r="E40" s="8">
        <v>32827</v>
      </c>
      <c r="F40" s="3"/>
      <c r="G40" s="8">
        <v>31575</v>
      </c>
      <c r="H40" s="3"/>
    </row>
    <row r="41" spans="1:8" x14ac:dyDescent="0.35">
      <c r="A41" t="s">
        <v>85</v>
      </c>
      <c r="B41" s="3"/>
      <c r="C41" s="3">
        <v>98</v>
      </c>
      <c r="D41" s="3"/>
      <c r="E41" s="3">
        <v>86</v>
      </c>
      <c r="F41" s="3"/>
      <c r="G41" s="3">
        <v>29</v>
      </c>
      <c r="H41" s="3"/>
    </row>
    <row r="42" spans="1:8" x14ac:dyDescent="0.35">
      <c r="A42" t="s">
        <v>86</v>
      </c>
      <c r="B42" s="3"/>
      <c r="C42" s="3">
        <v>1695</v>
      </c>
      <c r="D42" s="3"/>
      <c r="E42" s="3">
        <v>870</v>
      </c>
      <c r="F42" s="3"/>
      <c r="G42" s="3">
        <v>317</v>
      </c>
      <c r="H42" s="3"/>
    </row>
    <row r="43" spans="1:8" x14ac:dyDescent="0.35">
      <c r="A43" t="s">
        <v>17</v>
      </c>
      <c r="B43" s="3"/>
      <c r="C43" s="3">
        <v>5035</v>
      </c>
      <c r="D43" s="3"/>
      <c r="E43" s="3">
        <v>1487</v>
      </c>
      <c r="F43" s="3"/>
      <c r="G43" s="3">
        <v>0</v>
      </c>
      <c r="H43" s="3"/>
    </row>
    <row r="44" spans="1:8" x14ac:dyDescent="0.35">
      <c r="A44" t="s">
        <v>87</v>
      </c>
      <c r="B44" s="3"/>
      <c r="C44" s="3">
        <v>436</v>
      </c>
      <c r="D44" s="3"/>
      <c r="E44" s="3">
        <v>360</v>
      </c>
      <c r="F44" s="3"/>
      <c r="G44" s="3">
        <v>0</v>
      </c>
      <c r="H44" s="3"/>
    </row>
    <row r="45" spans="1:8" x14ac:dyDescent="0.35">
      <c r="A45" t="s">
        <v>88</v>
      </c>
      <c r="B45" s="3"/>
      <c r="C45" s="3">
        <v>4010</v>
      </c>
      <c r="D45" s="3"/>
      <c r="E45" s="3">
        <v>2291</v>
      </c>
      <c r="F45" s="3"/>
      <c r="G45" s="3">
        <v>1332</v>
      </c>
      <c r="H45" s="3"/>
    </row>
    <row r="46" spans="1:8" x14ac:dyDescent="0.35">
      <c r="A46" t="s">
        <v>18</v>
      </c>
      <c r="B46" s="3"/>
      <c r="C46" s="3">
        <v>75</v>
      </c>
      <c r="D46" s="3"/>
      <c r="E46" s="3">
        <v>-3</v>
      </c>
      <c r="F46" s="3"/>
      <c r="G46" s="3">
        <v>-1</v>
      </c>
      <c r="H46" s="3"/>
    </row>
    <row r="47" spans="1:8" x14ac:dyDescent="0.35">
      <c r="C47" s="7">
        <f>-SUM(C20:C46)</f>
        <v>-500004</v>
      </c>
      <c r="E47" s="7">
        <f>-SUM(E20:E46)</f>
        <v>-377416</v>
      </c>
      <c r="F47" s="3"/>
      <c r="G47" s="7">
        <f>-SUM(G20:G46)</f>
        <v>-307490</v>
      </c>
      <c r="H47" s="3"/>
    </row>
    <row r="48" spans="1:8" x14ac:dyDescent="0.35">
      <c r="C48" s="3"/>
      <c r="E48" s="3"/>
      <c r="F48" s="3"/>
      <c r="G48" s="3"/>
      <c r="H48" s="3"/>
    </row>
    <row r="49" spans="1:8" x14ac:dyDescent="0.35">
      <c r="A49" s="4" t="s">
        <v>21</v>
      </c>
      <c r="C49" s="3">
        <f>C17+C47</f>
        <v>312800</v>
      </c>
      <c r="E49" s="3">
        <f>E17+E47</f>
        <v>230328</v>
      </c>
      <c r="F49" s="3"/>
      <c r="G49" s="3">
        <f>G17+G47</f>
        <v>194249</v>
      </c>
      <c r="H49" s="3"/>
    </row>
    <row r="50" spans="1:8" x14ac:dyDescent="0.35">
      <c r="C50" s="3"/>
      <c r="E50" s="3"/>
      <c r="F50" s="3"/>
      <c r="G50" s="3"/>
      <c r="H50" s="3"/>
    </row>
    <row r="51" spans="1:8" x14ac:dyDescent="0.35">
      <c r="A51" s="4" t="s">
        <v>24</v>
      </c>
      <c r="C51" s="3"/>
      <c r="E51" s="3"/>
      <c r="F51" s="3"/>
      <c r="G51" s="3"/>
      <c r="H51" s="3"/>
    </row>
    <row r="52" spans="1:8" x14ac:dyDescent="0.35">
      <c r="A52" t="s">
        <v>25</v>
      </c>
      <c r="C52" s="5">
        <v>4854</v>
      </c>
      <c r="E52" s="5">
        <v>4159</v>
      </c>
      <c r="F52" s="3"/>
      <c r="G52" s="5">
        <v>556</v>
      </c>
      <c r="H52" s="3"/>
    </row>
    <row r="53" spans="1:8" x14ac:dyDescent="0.35">
      <c r="C53" s="7">
        <f>SUM(C52)</f>
        <v>4854</v>
      </c>
      <c r="E53" s="7">
        <f>SUM(E52)</f>
        <v>4159</v>
      </c>
      <c r="F53" s="3"/>
      <c r="G53" s="7">
        <f>SUM(G52)</f>
        <v>556</v>
      </c>
      <c r="H53" s="3"/>
    </row>
    <row r="54" spans="1:8" x14ac:dyDescent="0.35">
      <c r="C54" s="3"/>
      <c r="E54" s="3"/>
      <c r="F54" s="3"/>
      <c r="G54" s="3"/>
      <c r="H54" s="3"/>
    </row>
    <row r="55" spans="1:8" x14ac:dyDescent="0.35">
      <c r="A55" s="4" t="s">
        <v>22</v>
      </c>
      <c r="C55" s="3"/>
      <c r="E55" s="3"/>
      <c r="F55" s="3"/>
      <c r="G55" s="3"/>
      <c r="H55" s="3"/>
    </row>
    <row r="56" spans="1:8" x14ac:dyDescent="0.35">
      <c r="A56" t="s">
        <v>23</v>
      </c>
      <c r="C56" s="5">
        <v>791</v>
      </c>
      <c r="E56" s="5">
        <v>861</v>
      </c>
      <c r="F56" s="3"/>
      <c r="G56" s="5">
        <v>1071</v>
      </c>
      <c r="H56" s="3"/>
    </row>
    <row r="57" spans="1:8" x14ac:dyDescent="0.35">
      <c r="C57" s="7">
        <f>-SUM(C56:C56)</f>
        <v>-791</v>
      </c>
      <c r="E57" s="7">
        <f>-SUM(E56:E56)</f>
        <v>-861</v>
      </c>
      <c r="F57" s="3"/>
      <c r="G57" s="7">
        <f>-SUM(G56:G56)</f>
        <v>-1071</v>
      </c>
      <c r="H57" s="3"/>
    </row>
    <row r="58" spans="1:8" x14ac:dyDescent="0.35">
      <c r="C58" s="3"/>
      <c r="E58" s="3"/>
      <c r="F58" s="3"/>
      <c r="G58" s="3"/>
      <c r="H58" s="3"/>
    </row>
    <row r="59" spans="1:8" x14ac:dyDescent="0.35">
      <c r="A59" s="4" t="s">
        <v>26</v>
      </c>
      <c r="C59" s="5">
        <f>C49+C53+C57</f>
        <v>316863</v>
      </c>
      <c r="E59" s="5">
        <f>E49+E53+E57</f>
        <v>233626</v>
      </c>
      <c r="F59" s="3"/>
      <c r="G59" s="5">
        <f>G49+G53+G57</f>
        <v>193734</v>
      </c>
      <c r="H59" s="3"/>
    </row>
    <row r="60" spans="1:8" x14ac:dyDescent="0.35">
      <c r="C60" s="3"/>
      <c r="E60" s="3"/>
      <c r="F60" s="3"/>
      <c r="G60" s="3"/>
      <c r="H60" s="3"/>
    </row>
    <row r="61" spans="1:8" x14ac:dyDescent="0.35">
      <c r="A61" s="4" t="s">
        <v>27</v>
      </c>
      <c r="C61" s="3"/>
      <c r="E61" s="3"/>
      <c r="F61" s="3"/>
      <c r="G61" s="3"/>
      <c r="H61" s="3"/>
    </row>
    <row r="62" spans="1:8" x14ac:dyDescent="0.35">
      <c r="A62" t="s">
        <v>28</v>
      </c>
      <c r="C62" s="3">
        <v>78656</v>
      </c>
      <c r="E62" s="3">
        <v>57541</v>
      </c>
      <c r="F62" s="3"/>
      <c r="G62" s="3">
        <v>38773</v>
      </c>
      <c r="H62" s="3"/>
    </row>
    <row r="63" spans="1:8" x14ac:dyDescent="0.35">
      <c r="A63" t="s">
        <v>89</v>
      </c>
      <c r="C63" s="5">
        <v>560</v>
      </c>
      <c r="E63" s="5">
        <v>1097</v>
      </c>
      <c r="F63" s="3"/>
      <c r="G63" s="5">
        <v>114</v>
      </c>
      <c r="H63" s="3"/>
    </row>
    <row r="64" spans="1:8" x14ac:dyDescent="0.35">
      <c r="C64" s="7">
        <f>-SUM(C62:C63)</f>
        <v>-79216</v>
      </c>
      <c r="E64" s="7">
        <f>-SUM(E62:E63)</f>
        <v>-58638</v>
      </c>
      <c r="F64" s="3"/>
      <c r="G64" s="7">
        <f>-SUM(G62:G63)</f>
        <v>-38887</v>
      </c>
      <c r="H64" s="3"/>
    </row>
    <row r="65" spans="1:8" x14ac:dyDescent="0.35">
      <c r="A65" s="4" t="s">
        <v>29</v>
      </c>
      <c r="C65" s="3"/>
      <c r="E65" s="3"/>
      <c r="F65" s="3"/>
      <c r="G65" s="3"/>
      <c r="H65" s="3"/>
    </row>
    <row r="66" spans="1:8" ht="15" thickBot="1" x14ac:dyDescent="0.4">
      <c r="A66" s="4" t="s">
        <v>30</v>
      </c>
      <c r="C66" s="6">
        <f>C59+C64</f>
        <v>237647</v>
      </c>
      <c r="E66" s="6">
        <f>E59+E64</f>
        <v>174988</v>
      </c>
      <c r="F66" s="3"/>
      <c r="G66" s="6">
        <f>G59+G64</f>
        <v>154847</v>
      </c>
      <c r="H66" s="3"/>
    </row>
    <row r="67" spans="1:8" ht="15" thickTop="1" x14ac:dyDescent="0.3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A480-A865-4C59-A3CA-C72A801645BD}">
  <sheetPr>
    <pageSetUpPr fitToPage="1"/>
  </sheetPr>
  <dimension ref="A1:K45"/>
  <sheetViews>
    <sheetView tabSelected="1" workbookViewId="0">
      <pane ySplit="6" topLeftCell="A7" activePane="bottomLeft" state="frozen"/>
      <selection activeCell="D12" sqref="D12:F12"/>
      <selection pane="bottomLeft" activeCell="D12" sqref="D12:F12"/>
    </sheetView>
  </sheetViews>
  <sheetFormatPr defaultRowHeight="14.5" x14ac:dyDescent="0.35"/>
  <cols>
    <col min="1" max="1" width="12.1796875" customWidth="1"/>
    <col min="2" max="2" width="21" customWidth="1"/>
    <col min="3" max="4" width="9.453125" bestFit="1" customWidth="1"/>
    <col min="5" max="5" width="4.26953125" customWidth="1"/>
    <col min="6" max="7" width="9.453125" bestFit="1" customWidth="1"/>
    <col min="8" max="8" width="4.26953125" customWidth="1"/>
    <col min="9" max="10" width="9.453125" bestFit="1" customWidth="1"/>
    <col min="11" max="11" width="4.26953125" customWidth="1"/>
  </cols>
  <sheetData>
    <row r="1" spans="1:11" x14ac:dyDescent="0.35">
      <c r="A1" t="s">
        <v>73</v>
      </c>
    </row>
    <row r="2" spans="1:11" x14ac:dyDescent="0.35">
      <c r="A2" t="s">
        <v>108</v>
      </c>
    </row>
    <row r="3" spans="1:11" x14ac:dyDescent="0.35">
      <c r="A3" t="s">
        <v>4</v>
      </c>
    </row>
    <row r="5" spans="1:11" x14ac:dyDescent="0.35">
      <c r="C5" s="35">
        <v>2025</v>
      </c>
      <c r="D5" s="35"/>
      <c r="E5" s="2"/>
      <c r="F5" s="35">
        <v>2024</v>
      </c>
      <c r="G5" s="35"/>
      <c r="H5" s="2"/>
      <c r="I5" s="35">
        <v>2023</v>
      </c>
      <c r="J5" s="35"/>
      <c r="K5" s="2"/>
    </row>
    <row r="6" spans="1:11" x14ac:dyDescent="0.35">
      <c r="C6" s="2" t="s">
        <v>3</v>
      </c>
      <c r="D6" s="2" t="s">
        <v>3</v>
      </c>
      <c r="E6" s="2"/>
      <c r="F6" s="2" t="s">
        <v>3</v>
      </c>
      <c r="G6" s="2" t="s">
        <v>3</v>
      </c>
      <c r="H6" s="2"/>
      <c r="I6" s="2" t="s">
        <v>3</v>
      </c>
      <c r="J6" s="2" t="s">
        <v>3</v>
      </c>
      <c r="K6" s="2"/>
    </row>
    <row r="7" spans="1:11" ht="8.25" customHeight="1" x14ac:dyDescent="0.35"/>
    <row r="8" spans="1:11" x14ac:dyDescent="0.35">
      <c r="A8" s="4" t="s">
        <v>39</v>
      </c>
    </row>
    <row r="9" spans="1:11" hidden="1" x14ac:dyDescent="0.35">
      <c r="A9" t="s">
        <v>40</v>
      </c>
      <c r="C9" s="3"/>
      <c r="D9" s="3"/>
      <c r="E9" s="3"/>
      <c r="F9" s="3"/>
      <c r="G9" s="3">
        <v>0</v>
      </c>
      <c r="H9" s="3"/>
      <c r="I9" s="3"/>
      <c r="J9" s="3">
        <v>0</v>
      </c>
      <c r="K9" s="3"/>
    </row>
    <row r="10" spans="1:11" x14ac:dyDescent="0.35">
      <c r="A10" t="s">
        <v>41</v>
      </c>
      <c r="C10" s="3"/>
      <c r="D10" s="5">
        <v>7899</v>
      </c>
      <c r="E10" s="3"/>
      <c r="F10" s="3"/>
      <c r="G10" s="5">
        <v>5721</v>
      </c>
      <c r="H10" s="3"/>
      <c r="I10" s="3"/>
      <c r="J10" s="5">
        <v>3459</v>
      </c>
      <c r="K10" s="3"/>
    </row>
    <row r="11" spans="1:11" x14ac:dyDescent="0.35"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5">
      <c r="C12" s="3"/>
      <c r="D12" s="3">
        <f>SUM(D9:D10)</f>
        <v>7899</v>
      </c>
      <c r="E12" s="3"/>
      <c r="F12" s="3"/>
      <c r="G12" s="3">
        <f>SUM(G9:G10)</f>
        <v>5721</v>
      </c>
      <c r="H12" s="3"/>
      <c r="I12" s="3"/>
      <c r="J12" s="3">
        <f>SUM(J9:J10)</f>
        <v>3459</v>
      </c>
      <c r="K12" s="3"/>
    </row>
    <row r="13" spans="1:11" x14ac:dyDescent="0.35">
      <c r="A13" s="4" t="s">
        <v>42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5">
      <c r="A14" t="s">
        <v>43</v>
      </c>
      <c r="C14" s="3">
        <v>5325</v>
      </c>
      <c r="D14" s="3"/>
      <c r="E14" s="3"/>
      <c r="F14" s="3">
        <v>5325</v>
      </c>
      <c r="G14" s="3"/>
      <c r="H14" s="3"/>
      <c r="I14" s="3">
        <v>0</v>
      </c>
      <c r="J14" s="3"/>
      <c r="K14" s="3"/>
    </row>
    <row r="15" spans="1:11" x14ac:dyDescent="0.35">
      <c r="A15" t="s">
        <v>44</v>
      </c>
      <c r="C15" s="3">
        <v>41871</v>
      </c>
      <c r="D15" s="3"/>
      <c r="E15" s="3"/>
      <c r="F15" s="3">
        <v>29367</v>
      </c>
      <c r="G15" s="3"/>
      <c r="H15" s="3"/>
      <c r="I15" s="3">
        <v>32225</v>
      </c>
      <c r="J15" s="3"/>
      <c r="K15" s="3"/>
    </row>
    <row r="16" spans="1:11" x14ac:dyDescent="0.35">
      <c r="A16" t="s">
        <v>45</v>
      </c>
      <c r="C16" s="5">
        <v>325947</v>
      </c>
      <c r="D16" s="3"/>
      <c r="E16" s="3"/>
      <c r="F16" s="5">
        <v>337915</v>
      </c>
      <c r="G16" s="3"/>
      <c r="H16" s="3"/>
      <c r="I16" s="5">
        <v>286773</v>
      </c>
      <c r="J16" s="3"/>
      <c r="K16" s="3"/>
    </row>
    <row r="17" spans="1:11" x14ac:dyDescent="0.35"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5">
      <c r="C18" s="3">
        <f>SUM(C14:C16)</f>
        <v>373143</v>
      </c>
      <c r="D18" s="3"/>
      <c r="E18" s="3"/>
      <c r="F18" s="3">
        <f>SUM(F14:F16)</f>
        <v>372607</v>
      </c>
      <c r="G18" s="3"/>
      <c r="H18" s="3"/>
      <c r="I18" s="3">
        <f>SUM(I14:I16)</f>
        <v>318998</v>
      </c>
      <c r="J18" s="3"/>
      <c r="K18" s="3"/>
    </row>
    <row r="19" spans="1:11" x14ac:dyDescent="0.35"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4" t="s">
        <v>46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5">
      <c r="A21" s="4" t="s">
        <v>47</v>
      </c>
      <c r="C21" s="9">
        <v>-146811</v>
      </c>
      <c r="D21" s="3"/>
      <c r="E21" s="3"/>
      <c r="F21" s="9">
        <v>-145254</v>
      </c>
      <c r="G21" s="3"/>
      <c r="H21" s="3"/>
      <c r="I21" s="9">
        <v>-142249</v>
      </c>
      <c r="J21" s="3"/>
      <c r="K21" s="3"/>
    </row>
    <row r="22" spans="1:11" x14ac:dyDescent="0.35">
      <c r="A22" s="4"/>
      <c r="C22" s="7"/>
      <c r="D22" s="3"/>
      <c r="E22" s="3"/>
      <c r="F22" s="7"/>
      <c r="G22" s="3"/>
      <c r="H22" s="3"/>
      <c r="I22" s="7"/>
      <c r="J22" s="3"/>
      <c r="K22" s="3"/>
    </row>
    <row r="23" spans="1:11" x14ac:dyDescent="0.35"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5">
      <c r="A24" s="4" t="s">
        <v>48</v>
      </c>
      <c r="C24" s="3"/>
      <c r="D24" s="5">
        <f>C18+C21</f>
        <v>226332</v>
      </c>
      <c r="E24" s="3"/>
      <c r="F24" s="3"/>
      <c r="G24" s="5">
        <f>F18+F21</f>
        <v>227353</v>
      </c>
      <c r="H24" s="3"/>
      <c r="I24" s="3"/>
      <c r="J24" s="5">
        <f>I18+I21</f>
        <v>176749</v>
      </c>
      <c r="K24" s="3"/>
    </row>
    <row r="25" spans="1:11" x14ac:dyDescent="0.35"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5">
      <c r="A26" s="4" t="s">
        <v>49</v>
      </c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5">
      <c r="A27" s="4" t="s">
        <v>50</v>
      </c>
      <c r="C27" s="3"/>
      <c r="D27" s="5">
        <f>D12+D24</f>
        <v>234231</v>
      </c>
      <c r="E27" s="3"/>
      <c r="F27" s="3"/>
      <c r="G27" s="5">
        <f>G12+G24</f>
        <v>233074</v>
      </c>
      <c r="H27" s="3"/>
      <c r="I27" s="3"/>
      <c r="J27" s="5">
        <f>J12+J24</f>
        <v>180208</v>
      </c>
      <c r="K27" s="3"/>
    </row>
    <row r="28" spans="1:11" x14ac:dyDescent="0.35"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5">
      <c r="A29" s="4" t="s">
        <v>51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5">
      <c r="A30" s="4" t="s">
        <v>52</v>
      </c>
      <c r="C30" s="3"/>
      <c r="D30" s="9">
        <v>-23021</v>
      </c>
      <c r="E30" s="3"/>
      <c r="F30" s="3"/>
      <c r="G30" s="9">
        <v>-28566</v>
      </c>
      <c r="H30" s="3"/>
      <c r="I30" s="3"/>
      <c r="J30" s="9">
        <v>-33284</v>
      </c>
      <c r="K30" s="3"/>
    </row>
    <row r="31" spans="1:11" x14ac:dyDescent="0.35"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5">
      <c r="A32" s="4" t="s">
        <v>53</v>
      </c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5">
      <c r="A33" t="s">
        <v>54</v>
      </c>
      <c r="C33" s="3"/>
      <c r="D33" s="9">
        <v>-1904</v>
      </c>
      <c r="E33" s="3"/>
      <c r="F33" s="3"/>
      <c r="G33" s="9">
        <v>-1344</v>
      </c>
      <c r="H33" s="3"/>
      <c r="I33" s="3"/>
      <c r="J33" s="9">
        <v>-248</v>
      </c>
      <c r="K33" s="3"/>
    </row>
    <row r="34" spans="1:11" x14ac:dyDescent="0.35">
      <c r="C34" s="3"/>
      <c r="D34" s="3"/>
      <c r="E34" s="3"/>
      <c r="F34" s="3"/>
      <c r="G34" s="3"/>
      <c r="H34" s="3"/>
      <c r="I34" s="3"/>
      <c r="J34" s="3"/>
      <c r="K34" s="3"/>
    </row>
    <row r="35" spans="1:11" ht="15" thickBot="1" x14ac:dyDescent="0.4">
      <c r="A35" s="4" t="s">
        <v>55</v>
      </c>
      <c r="C35" s="3"/>
      <c r="D35" s="6">
        <f>D27+D30+D33</f>
        <v>209306</v>
      </c>
      <c r="E35" s="3"/>
      <c r="F35" s="3"/>
      <c r="G35" s="6">
        <f>G27+G30+G33</f>
        <v>203164</v>
      </c>
      <c r="H35" s="3"/>
      <c r="I35" s="3"/>
      <c r="J35" s="6">
        <f>J27+J30+J33</f>
        <v>146676</v>
      </c>
      <c r="K35" s="3"/>
    </row>
    <row r="36" spans="1:11" ht="15" thickTop="1" x14ac:dyDescent="0.35"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5">
      <c r="A37" s="4" t="s">
        <v>56</v>
      </c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5">
      <c r="A38" t="s">
        <v>57</v>
      </c>
      <c r="C38" s="3"/>
      <c r="D38" s="3">
        <v>310</v>
      </c>
      <c r="E38" s="3"/>
      <c r="F38" s="3"/>
      <c r="G38" s="3">
        <v>310</v>
      </c>
      <c r="H38" s="3"/>
      <c r="I38" s="3"/>
      <c r="J38" s="3">
        <v>310</v>
      </c>
      <c r="K38" s="3"/>
    </row>
    <row r="39" spans="1:11" x14ac:dyDescent="0.35">
      <c r="A39" t="s">
        <v>58</v>
      </c>
      <c r="C39" s="3"/>
      <c r="D39" s="5">
        <v>208996</v>
      </c>
      <c r="E39" s="3"/>
      <c r="F39" s="3"/>
      <c r="G39" s="5">
        <v>202854</v>
      </c>
      <c r="H39" s="3"/>
      <c r="I39" s="3"/>
      <c r="J39" s="5">
        <v>146366</v>
      </c>
      <c r="K39" s="3"/>
    </row>
    <row r="40" spans="1:11" x14ac:dyDescent="0.35">
      <c r="C40" s="3"/>
      <c r="D40" s="3"/>
      <c r="E40" s="3"/>
      <c r="F40" s="3"/>
      <c r="G40" s="3"/>
      <c r="H40" s="3"/>
      <c r="I40" s="3"/>
      <c r="J40" s="3"/>
      <c r="K40" s="3"/>
    </row>
    <row r="41" spans="1:11" ht="15" thickBot="1" x14ac:dyDescent="0.4">
      <c r="A41" s="4" t="s">
        <v>59</v>
      </c>
      <c r="C41" s="3"/>
      <c r="D41" s="6">
        <f>SUM(D38:D39)</f>
        <v>209306</v>
      </c>
      <c r="E41" s="3"/>
      <c r="F41" s="3"/>
      <c r="G41" s="6">
        <f>SUM(G38:G39)</f>
        <v>203164</v>
      </c>
      <c r="H41" s="3"/>
      <c r="I41" s="3"/>
      <c r="J41" s="6">
        <f>SUM(J38:J39)</f>
        <v>146676</v>
      </c>
      <c r="K41" s="3"/>
    </row>
    <row r="42" spans="1:11" ht="15" thickTop="1" x14ac:dyDescent="0.35"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35"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35"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35">
      <c r="C45" s="3"/>
      <c r="D45" s="3"/>
      <c r="E45" s="3"/>
      <c r="F45" s="3"/>
      <c r="G45" s="3"/>
      <c r="H45" s="3"/>
      <c r="I45" s="3"/>
      <c r="J45" s="3"/>
      <c r="K45" s="3"/>
    </row>
  </sheetData>
  <mergeCells count="3">
    <mergeCell ref="F5:G5"/>
    <mergeCell ref="I5:J5"/>
    <mergeCell ref="C5:D5"/>
  </mergeCells>
  <pageMargins left="0.7" right="0.7" top="0.75" bottom="0.75" header="0.3" footer="0.3"/>
  <pageSetup scale="9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41491-94DF-458C-BB0A-B7BE0A6436CD}">
  <sheetPr>
    <pageSetUpPr fitToPage="1"/>
  </sheetPr>
  <dimension ref="A1:S67"/>
  <sheetViews>
    <sheetView topLeftCell="A24" workbookViewId="0">
      <pane xSplit="1" topLeftCell="B1" activePane="topRight" state="frozen"/>
      <selection activeCell="A10" sqref="A10"/>
      <selection pane="topRight" activeCell="I44" sqref="I44"/>
    </sheetView>
  </sheetViews>
  <sheetFormatPr defaultRowHeight="14.5" x14ac:dyDescent="0.35"/>
  <cols>
    <col min="1" max="1" width="47.1796875" customWidth="1"/>
    <col min="2" max="2" width="4.26953125" customWidth="1"/>
    <col min="3" max="3" width="9.453125" bestFit="1" customWidth="1"/>
    <col min="4" max="4" width="4.26953125" customWidth="1"/>
    <col min="5" max="5" width="9.453125" bestFit="1" customWidth="1"/>
    <col min="6" max="6" width="4.26953125" customWidth="1"/>
    <col min="7" max="7" width="15.453125" customWidth="1"/>
    <col min="15" max="15" width="11" customWidth="1"/>
    <col min="17" max="17" width="9.453125" bestFit="1" customWidth="1"/>
    <col min="19" max="19" width="9.453125" bestFit="1" customWidth="1"/>
  </cols>
  <sheetData>
    <row r="1" spans="1:19" x14ac:dyDescent="0.35">
      <c r="A1" t="s">
        <v>73</v>
      </c>
    </row>
    <row r="2" spans="1:19" ht="15" thickBot="1" x14ac:dyDescent="0.4">
      <c r="A2" t="s">
        <v>2</v>
      </c>
    </row>
    <row r="3" spans="1:19" x14ac:dyDescent="0.35">
      <c r="A3" t="s">
        <v>36</v>
      </c>
      <c r="I3" s="36" t="s">
        <v>37</v>
      </c>
      <c r="J3" s="37"/>
      <c r="K3" s="37"/>
      <c r="L3" s="37"/>
      <c r="M3" s="38"/>
      <c r="O3" s="36" t="s">
        <v>38</v>
      </c>
      <c r="P3" s="37"/>
      <c r="Q3" s="37"/>
      <c r="R3" s="37"/>
      <c r="S3" s="38"/>
    </row>
    <row r="4" spans="1:19" x14ac:dyDescent="0.35">
      <c r="I4" s="10"/>
      <c r="M4" s="11"/>
      <c r="O4" s="10"/>
      <c r="S4" s="11"/>
    </row>
    <row r="5" spans="1:19" x14ac:dyDescent="0.35">
      <c r="B5" s="2"/>
      <c r="C5" s="2">
        <v>2025</v>
      </c>
      <c r="D5" s="2"/>
      <c r="E5" s="2">
        <v>2024</v>
      </c>
      <c r="F5" s="2"/>
      <c r="G5" s="2">
        <v>2023</v>
      </c>
      <c r="I5" s="12">
        <v>2025</v>
      </c>
      <c r="J5" s="2"/>
      <c r="K5" s="2">
        <v>2024</v>
      </c>
      <c r="L5" s="2"/>
      <c r="M5" s="13">
        <v>2023</v>
      </c>
      <c r="O5" s="12">
        <v>2025</v>
      </c>
      <c r="P5" s="2"/>
      <c r="Q5" s="2">
        <v>2024</v>
      </c>
      <c r="R5" s="2"/>
      <c r="S5" s="13">
        <v>2023</v>
      </c>
    </row>
    <row r="6" spans="1:19" x14ac:dyDescent="0.35">
      <c r="B6" s="2"/>
      <c r="C6" s="2" t="s">
        <v>3</v>
      </c>
      <c r="D6" s="2"/>
      <c r="E6" s="2" t="s">
        <v>3</v>
      </c>
      <c r="F6" s="2"/>
      <c r="G6" s="2" t="s">
        <v>3</v>
      </c>
      <c r="I6" s="12" t="s">
        <v>3</v>
      </c>
      <c r="J6" s="2"/>
      <c r="K6" s="2" t="s">
        <v>3</v>
      </c>
      <c r="L6" s="2"/>
      <c r="M6" s="13" t="s">
        <v>3</v>
      </c>
      <c r="O6" s="12" t="s">
        <v>3</v>
      </c>
      <c r="P6" s="2"/>
      <c r="Q6" s="2" t="s">
        <v>3</v>
      </c>
      <c r="R6" s="2"/>
      <c r="S6" s="13" t="s">
        <v>3</v>
      </c>
    </row>
    <row r="7" spans="1:19" x14ac:dyDescent="0.35">
      <c r="B7" s="2"/>
      <c r="C7" s="2"/>
      <c r="D7" s="2"/>
      <c r="E7" s="2"/>
      <c r="F7" s="2"/>
      <c r="G7" s="2"/>
      <c r="I7" s="12"/>
      <c r="J7" s="2"/>
      <c r="K7" s="2"/>
      <c r="L7" s="2"/>
      <c r="M7" s="13"/>
      <c r="O7" s="12"/>
      <c r="P7" s="2"/>
      <c r="Q7" s="2"/>
      <c r="R7" s="2"/>
      <c r="S7" s="13"/>
    </row>
    <row r="8" spans="1:19" x14ac:dyDescent="0.35">
      <c r="A8" s="4" t="s">
        <v>7</v>
      </c>
      <c r="I8" s="10"/>
      <c r="M8" s="11"/>
      <c r="O8" s="10"/>
      <c r="S8" s="11"/>
    </row>
    <row r="9" spans="1:19" x14ac:dyDescent="0.35">
      <c r="A9" t="s">
        <v>6</v>
      </c>
      <c r="B9" s="3"/>
      <c r="C9" s="3">
        <v>859085</v>
      </c>
      <c r="D9" s="3"/>
      <c r="E9" s="3">
        <v>664804</v>
      </c>
      <c r="F9" s="3"/>
      <c r="G9" s="3">
        <v>549888</v>
      </c>
      <c r="I9" s="14"/>
      <c r="J9" s="3"/>
      <c r="K9" s="3"/>
      <c r="L9" s="3"/>
      <c r="M9" s="15"/>
      <c r="O9" s="14">
        <f>C9+I9</f>
        <v>859085</v>
      </c>
      <c r="P9" s="3"/>
      <c r="Q9" s="3">
        <f>E9+K9</f>
        <v>664804</v>
      </c>
      <c r="R9" s="3"/>
      <c r="S9" s="15">
        <f>G9+M9</f>
        <v>549888</v>
      </c>
    </row>
    <row r="10" spans="1:19" x14ac:dyDescent="0.35">
      <c r="A10" t="s">
        <v>76</v>
      </c>
      <c r="B10" s="3"/>
      <c r="C10" s="5">
        <v>462</v>
      </c>
      <c r="D10" s="3"/>
      <c r="E10" s="5">
        <v>900</v>
      </c>
      <c r="F10" s="3"/>
      <c r="G10" s="5">
        <v>420</v>
      </c>
      <c r="I10" s="16"/>
      <c r="J10" s="3"/>
      <c r="K10" s="5"/>
      <c r="L10" s="3"/>
      <c r="M10" s="17"/>
      <c r="O10" s="16">
        <f>C10+I10</f>
        <v>462</v>
      </c>
      <c r="P10" s="3"/>
      <c r="Q10" s="5">
        <f>E10+K10</f>
        <v>900</v>
      </c>
      <c r="R10" s="3"/>
      <c r="S10" s="17">
        <f>G10+M10</f>
        <v>420</v>
      </c>
    </row>
    <row r="11" spans="1:19" x14ac:dyDescent="0.35">
      <c r="B11" s="3"/>
      <c r="C11" s="3">
        <f>SUM(C9:C10)</f>
        <v>859547</v>
      </c>
      <c r="D11" s="3"/>
      <c r="E11" s="3">
        <f>SUM(E9:E10)</f>
        <v>665704</v>
      </c>
      <c r="F11" s="3"/>
      <c r="G11" s="3">
        <f>SUM(G9:G10)</f>
        <v>550308</v>
      </c>
      <c r="I11" s="3">
        <f>SUM(I9:I10)</f>
        <v>0</v>
      </c>
      <c r="J11" s="3"/>
      <c r="K11" s="3">
        <f>SUM(K9:K10)</f>
        <v>0</v>
      </c>
      <c r="L11" s="3"/>
      <c r="M11" s="3">
        <f>SUM(M9:M10)</f>
        <v>0</v>
      </c>
      <c r="O11" s="14">
        <f>C11+I11</f>
        <v>859547</v>
      </c>
      <c r="P11" s="3"/>
      <c r="Q11" s="3">
        <f>E11+K11</f>
        <v>665704</v>
      </c>
      <c r="R11" s="3"/>
      <c r="S11" s="15">
        <f>G11+M11</f>
        <v>550308</v>
      </c>
    </row>
    <row r="12" spans="1:19" x14ac:dyDescent="0.35">
      <c r="A12" s="4" t="s">
        <v>8</v>
      </c>
      <c r="B12" s="3"/>
      <c r="C12" s="3"/>
      <c r="D12" s="3"/>
      <c r="E12" s="3"/>
      <c r="F12" s="3"/>
      <c r="G12" s="3"/>
      <c r="I12" s="14"/>
      <c r="J12" s="3"/>
      <c r="K12" s="3"/>
      <c r="L12" s="3"/>
      <c r="M12" s="15"/>
      <c r="O12" s="14"/>
      <c r="P12" s="3"/>
      <c r="Q12" s="3"/>
      <c r="R12" s="3"/>
      <c r="S12" s="15"/>
    </row>
    <row r="13" spans="1:19" x14ac:dyDescent="0.35">
      <c r="A13" t="s">
        <v>74</v>
      </c>
      <c r="B13" s="3"/>
      <c r="C13" s="3">
        <v>43040</v>
      </c>
      <c r="D13" s="3"/>
      <c r="E13" s="3">
        <v>50418</v>
      </c>
      <c r="F13" s="3"/>
      <c r="G13" s="3">
        <v>43732</v>
      </c>
      <c r="I13" s="14"/>
      <c r="J13" s="3"/>
      <c r="K13" s="3"/>
      <c r="L13" s="3"/>
      <c r="M13" s="15"/>
      <c r="O13" s="14">
        <f>C13+I13</f>
        <v>43040</v>
      </c>
      <c r="P13" s="3"/>
      <c r="Q13" s="3">
        <f>E13+K13</f>
        <v>50418</v>
      </c>
      <c r="R13" s="3"/>
      <c r="S13" s="15">
        <f>G13+M13</f>
        <v>43732</v>
      </c>
    </row>
    <row r="14" spans="1:19" x14ac:dyDescent="0.35">
      <c r="A14" t="s">
        <v>75</v>
      </c>
      <c r="B14" s="3"/>
      <c r="C14" s="5">
        <v>3703</v>
      </c>
      <c r="D14" s="3"/>
      <c r="E14" s="5">
        <v>7542</v>
      </c>
      <c r="F14" s="3"/>
      <c r="G14" s="5">
        <v>4837</v>
      </c>
      <c r="I14" s="16"/>
      <c r="J14" s="3"/>
      <c r="K14" s="5"/>
      <c r="L14" s="3"/>
      <c r="M14" s="17"/>
      <c r="O14" s="16">
        <f>C14+I14</f>
        <v>3703</v>
      </c>
      <c r="P14" s="3"/>
      <c r="Q14" s="5">
        <f>E14+K14</f>
        <v>7542</v>
      </c>
      <c r="R14" s="3"/>
      <c r="S14" s="17">
        <f>G14+M14</f>
        <v>4837</v>
      </c>
    </row>
    <row r="15" spans="1:19" x14ac:dyDescent="0.35">
      <c r="B15" s="3"/>
      <c r="C15" s="7">
        <f>-SUM(C13:C14)</f>
        <v>-46743</v>
      </c>
      <c r="D15" s="3"/>
      <c r="E15" s="7">
        <f>-SUM(E13:E14)</f>
        <v>-57960</v>
      </c>
      <c r="F15" s="3"/>
      <c r="G15" s="7">
        <f>-SUM(G13:G14)</f>
        <v>-48569</v>
      </c>
      <c r="I15" s="18">
        <f>-SUM(I14)</f>
        <v>0</v>
      </c>
      <c r="J15" s="3"/>
      <c r="K15" s="7">
        <f>-SUM(K14)</f>
        <v>0</v>
      </c>
      <c r="L15" s="3"/>
      <c r="M15" s="19">
        <f>-SUM(M14)</f>
        <v>0</v>
      </c>
      <c r="O15" s="18">
        <f>-SUM(O13:O14)</f>
        <v>-46743</v>
      </c>
      <c r="P15" s="3"/>
      <c r="Q15" s="18">
        <f>-SUM(Q13:Q14)</f>
        <v>-57960</v>
      </c>
      <c r="R15" s="3"/>
      <c r="S15" s="33">
        <f>-SUM(S13:S14)</f>
        <v>-48569</v>
      </c>
    </row>
    <row r="16" spans="1:19" x14ac:dyDescent="0.35">
      <c r="B16" s="3"/>
      <c r="C16" s="7"/>
      <c r="D16" s="3"/>
      <c r="E16" s="7"/>
      <c r="F16" s="3"/>
      <c r="G16" s="7"/>
      <c r="I16" s="18"/>
      <c r="J16" s="3"/>
      <c r="K16" s="7"/>
      <c r="L16" s="3"/>
      <c r="M16" s="19"/>
      <c r="O16" s="18"/>
      <c r="P16" s="3"/>
      <c r="Q16" s="7"/>
      <c r="R16" s="3"/>
      <c r="S16" s="19"/>
    </row>
    <row r="17" spans="1:19" x14ac:dyDescent="0.35">
      <c r="A17" s="4" t="s">
        <v>20</v>
      </c>
      <c r="B17" s="3"/>
      <c r="C17" s="3">
        <f>C9+C15+C10</f>
        <v>812804</v>
      </c>
      <c r="D17" s="3"/>
      <c r="E17" s="3">
        <f>E9+E15+E10</f>
        <v>607744</v>
      </c>
      <c r="F17" s="3"/>
      <c r="G17" s="3">
        <f>G9+G15+G10</f>
        <v>501739</v>
      </c>
      <c r="I17" s="14">
        <f>I9+I15</f>
        <v>0</v>
      </c>
      <c r="J17" s="3"/>
      <c r="K17" s="3">
        <f>K9+K15</f>
        <v>0</v>
      </c>
      <c r="L17" s="3"/>
      <c r="M17" s="15">
        <f>M9+M15</f>
        <v>0</v>
      </c>
      <c r="O17" s="14">
        <f>O9+O15</f>
        <v>812342</v>
      </c>
      <c r="P17" s="3"/>
      <c r="Q17" s="3">
        <f>Q9+Q15</f>
        <v>606844</v>
      </c>
      <c r="R17" s="3"/>
      <c r="S17" s="15">
        <f>S9+S15</f>
        <v>501319</v>
      </c>
    </row>
    <row r="18" spans="1:19" x14ac:dyDescent="0.35">
      <c r="B18" s="3"/>
      <c r="C18" s="3"/>
      <c r="D18" s="3"/>
      <c r="E18" s="3"/>
      <c r="F18" s="3"/>
      <c r="G18" s="3"/>
      <c r="I18" s="14"/>
      <c r="J18" s="3"/>
      <c r="K18" s="3"/>
      <c r="L18" s="3"/>
      <c r="M18" s="15"/>
      <c r="O18" s="14"/>
      <c r="P18" s="3"/>
      <c r="Q18" s="3"/>
      <c r="R18" s="3"/>
      <c r="S18" s="15"/>
    </row>
    <row r="19" spans="1:19" x14ac:dyDescent="0.35">
      <c r="A19" s="4" t="s">
        <v>9</v>
      </c>
      <c r="B19" s="3"/>
      <c r="C19" s="3"/>
      <c r="D19" s="3"/>
      <c r="E19" s="3"/>
      <c r="F19" s="3"/>
      <c r="G19" s="3"/>
      <c r="I19" s="14"/>
      <c r="J19" s="3"/>
      <c r="K19" s="3"/>
      <c r="L19" s="3"/>
      <c r="M19" s="15"/>
      <c r="O19" s="14"/>
      <c r="P19" s="3"/>
      <c r="Q19" s="3"/>
      <c r="R19" s="3"/>
      <c r="S19" s="15"/>
    </row>
    <row r="20" spans="1:19" x14ac:dyDescent="0.35">
      <c r="A20" t="s">
        <v>10</v>
      </c>
      <c r="B20" s="3"/>
      <c r="C20" s="3">
        <v>61020</v>
      </c>
      <c r="D20" s="3"/>
      <c r="E20" s="3">
        <v>61020</v>
      </c>
      <c r="F20" s="3"/>
      <c r="G20" s="3">
        <v>60059</v>
      </c>
      <c r="I20" s="14">
        <v>-35880</v>
      </c>
      <c r="J20" s="3"/>
      <c r="K20" s="3">
        <v>-35880</v>
      </c>
      <c r="L20" s="3"/>
      <c r="M20" s="15">
        <v>-35880</v>
      </c>
      <c r="O20" s="14">
        <f>C20+I20</f>
        <v>25140</v>
      </c>
      <c r="P20" s="3"/>
      <c r="Q20" s="3">
        <f>E20+K20</f>
        <v>25140</v>
      </c>
      <c r="R20" s="3"/>
      <c r="S20" s="15">
        <f>G20+M20</f>
        <v>24179</v>
      </c>
    </row>
    <row r="21" spans="1:19" x14ac:dyDescent="0.35">
      <c r="A21" t="s">
        <v>11</v>
      </c>
      <c r="B21" s="3"/>
      <c r="C21" s="3">
        <v>4731</v>
      </c>
      <c r="D21" s="3"/>
      <c r="E21" s="3">
        <v>4653</v>
      </c>
      <c r="F21" s="3"/>
      <c r="G21" s="3">
        <v>4667</v>
      </c>
      <c r="I21" s="14">
        <v>-3774</v>
      </c>
      <c r="J21" s="3"/>
      <c r="K21" s="3">
        <v>-3696</v>
      </c>
      <c r="L21" s="3"/>
      <c r="M21" s="15">
        <v>-3864</v>
      </c>
      <c r="O21" s="14">
        <f t="shared" ref="O21:S59" si="0">C21+I21</f>
        <v>957</v>
      </c>
      <c r="P21" s="3"/>
      <c r="Q21" s="3">
        <f t="shared" ref="Q21:Q57" si="1">E21+K21</f>
        <v>957</v>
      </c>
      <c r="R21" s="3"/>
      <c r="S21" s="15">
        <f t="shared" ref="S21:S57" si="2">G21+M21</f>
        <v>803</v>
      </c>
    </row>
    <row r="22" spans="1:19" x14ac:dyDescent="0.35">
      <c r="A22" t="s">
        <v>12</v>
      </c>
      <c r="B22" s="3"/>
      <c r="C22" s="3">
        <v>30489</v>
      </c>
      <c r="D22" s="3"/>
      <c r="E22" s="3">
        <v>25989</v>
      </c>
      <c r="F22" s="3"/>
      <c r="G22" s="3">
        <v>889</v>
      </c>
      <c r="I22" s="14">
        <f>-889-9000</f>
        <v>-9889</v>
      </c>
      <c r="J22" s="3"/>
      <c r="K22" s="3">
        <f>-889.2+-7700</f>
        <v>-8589.2000000000007</v>
      </c>
      <c r="L22" s="3"/>
      <c r="M22" s="15">
        <v>-889.2</v>
      </c>
      <c r="O22" s="14">
        <f t="shared" si="0"/>
        <v>20600</v>
      </c>
      <c r="P22" s="3"/>
      <c r="Q22" s="3">
        <f t="shared" si="1"/>
        <v>17399.8</v>
      </c>
      <c r="R22" s="3"/>
      <c r="S22" s="15">
        <f t="shared" si="2"/>
        <v>-0.20000000000004547</v>
      </c>
    </row>
    <row r="23" spans="1:19" x14ac:dyDescent="0.35">
      <c r="A23" t="s">
        <v>31</v>
      </c>
      <c r="B23" s="3"/>
      <c r="C23" s="3">
        <v>215947</v>
      </c>
      <c r="D23" s="3"/>
      <c r="E23" s="3">
        <v>142885</v>
      </c>
      <c r="F23" s="3"/>
      <c r="G23" s="3">
        <v>110407</v>
      </c>
      <c r="I23" s="14">
        <v>60000</v>
      </c>
      <c r="J23" s="3"/>
      <c r="K23" s="3"/>
      <c r="L23" s="3"/>
      <c r="M23" s="15"/>
      <c r="O23" s="14">
        <f t="shared" si="0"/>
        <v>275947</v>
      </c>
      <c r="P23" s="3"/>
      <c r="Q23" s="3">
        <f t="shared" si="1"/>
        <v>142885</v>
      </c>
      <c r="R23" s="3"/>
      <c r="S23" s="15">
        <f t="shared" si="2"/>
        <v>110407</v>
      </c>
    </row>
    <row r="24" spans="1:19" x14ac:dyDescent="0.35">
      <c r="A24" t="s">
        <v>32</v>
      </c>
      <c r="B24" s="3"/>
      <c r="C24" s="3">
        <v>17865</v>
      </c>
      <c r="D24" s="3"/>
      <c r="E24" s="3">
        <v>9194</v>
      </c>
      <c r="F24" s="3"/>
      <c r="G24" s="3">
        <v>5297</v>
      </c>
      <c r="I24" s="14">
        <v>8250</v>
      </c>
      <c r="J24" s="3"/>
      <c r="K24" s="3"/>
      <c r="L24" s="3"/>
      <c r="M24" s="15"/>
      <c r="O24" s="14">
        <f t="shared" si="0"/>
        <v>26115</v>
      </c>
      <c r="P24" s="3"/>
      <c r="Q24" s="3">
        <f t="shared" si="1"/>
        <v>9194</v>
      </c>
      <c r="R24" s="3"/>
      <c r="S24" s="15">
        <f t="shared" si="2"/>
        <v>5297</v>
      </c>
    </row>
    <row r="25" spans="1:19" x14ac:dyDescent="0.35">
      <c r="A25" t="s">
        <v>33</v>
      </c>
      <c r="B25" s="3"/>
      <c r="C25" s="3">
        <v>4697</v>
      </c>
      <c r="D25" s="3"/>
      <c r="E25" s="3">
        <v>3164</v>
      </c>
      <c r="F25" s="3"/>
      <c r="G25" s="3">
        <v>2178</v>
      </c>
      <c r="I25" s="14">
        <v>1320.9</v>
      </c>
      <c r="J25" s="3"/>
      <c r="K25" s="3"/>
      <c r="L25" s="3"/>
      <c r="M25" s="15"/>
      <c r="O25" s="14">
        <f t="shared" si="0"/>
        <v>6017.9</v>
      </c>
      <c r="P25" s="3"/>
      <c r="Q25" s="3">
        <f t="shared" si="1"/>
        <v>3164</v>
      </c>
      <c r="R25" s="3"/>
      <c r="S25" s="15">
        <f t="shared" si="2"/>
        <v>2178</v>
      </c>
    </row>
    <row r="26" spans="1:19" x14ac:dyDescent="0.35">
      <c r="A26" t="s">
        <v>90</v>
      </c>
      <c r="B26" s="3"/>
      <c r="C26" s="3">
        <v>7970</v>
      </c>
      <c r="D26" s="3"/>
      <c r="E26" s="3">
        <v>8781</v>
      </c>
      <c r="F26" s="3"/>
      <c r="G26" s="3">
        <v>2283</v>
      </c>
      <c r="I26" s="14"/>
      <c r="J26" s="3"/>
      <c r="K26" s="3"/>
      <c r="L26" s="3"/>
      <c r="M26" s="15"/>
      <c r="O26" s="14">
        <f t="shared" si="0"/>
        <v>7970</v>
      </c>
      <c r="P26" s="3"/>
      <c r="Q26" s="3">
        <f t="shared" si="1"/>
        <v>8781</v>
      </c>
      <c r="R26" s="3"/>
      <c r="S26" s="15">
        <f t="shared" si="2"/>
        <v>2283</v>
      </c>
    </row>
    <row r="27" spans="1:19" x14ac:dyDescent="0.35">
      <c r="A27" t="s">
        <v>34</v>
      </c>
      <c r="B27" s="3"/>
      <c r="C27" s="3">
        <v>6407</v>
      </c>
      <c r="D27" s="3"/>
      <c r="E27" s="3">
        <v>8608</v>
      </c>
      <c r="F27" s="3"/>
      <c r="G27" s="3">
        <v>8358</v>
      </c>
      <c r="I27" s="14"/>
      <c r="J27" s="3"/>
      <c r="K27" s="3"/>
      <c r="L27" s="3"/>
      <c r="M27" s="15"/>
      <c r="O27" s="14">
        <f t="shared" si="0"/>
        <v>6407</v>
      </c>
      <c r="P27" s="3"/>
      <c r="Q27" s="3">
        <f t="shared" si="1"/>
        <v>8608</v>
      </c>
      <c r="R27" s="3"/>
      <c r="S27" s="15">
        <f t="shared" si="2"/>
        <v>8358</v>
      </c>
    </row>
    <row r="28" spans="1:19" x14ac:dyDescent="0.35">
      <c r="A28" t="s">
        <v>77</v>
      </c>
      <c r="B28" s="3"/>
      <c r="C28" s="3">
        <v>741</v>
      </c>
      <c r="D28" s="3"/>
      <c r="E28" s="3">
        <v>2399</v>
      </c>
      <c r="F28" s="3"/>
      <c r="G28" s="3">
        <v>7460</v>
      </c>
      <c r="I28" s="14"/>
      <c r="J28" s="3"/>
      <c r="K28" s="3"/>
      <c r="L28" s="3"/>
      <c r="M28" s="15"/>
      <c r="O28" s="14">
        <f t="shared" si="0"/>
        <v>741</v>
      </c>
      <c r="P28" s="3"/>
      <c r="Q28" s="3">
        <f t="shared" si="1"/>
        <v>2399</v>
      </c>
      <c r="R28" s="3"/>
      <c r="S28" s="15">
        <f t="shared" si="2"/>
        <v>7460</v>
      </c>
    </row>
    <row r="29" spans="1:19" x14ac:dyDescent="0.35">
      <c r="A29" t="s">
        <v>78</v>
      </c>
      <c r="B29" s="3"/>
      <c r="C29" s="3">
        <v>4598</v>
      </c>
      <c r="D29" s="3"/>
      <c r="E29" s="3">
        <v>3494</v>
      </c>
      <c r="F29" s="3"/>
      <c r="G29" s="3">
        <f>260+2799</f>
        <v>3059</v>
      </c>
      <c r="I29" s="14"/>
      <c r="J29" s="3"/>
      <c r="K29" s="3"/>
      <c r="L29" s="3"/>
      <c r="M29" s="15"/>
      <c r="O29" s="14">
        <f t="shared" si="0"/>
        <v>4598</v>
      </c>
      <c r="P29" s="3"/>
      <c r="Q29" s="3">
        <f t="shared" si="1"/>
        <v>3494</v>
      </c>
      <c r="R29" s="3"/>
      <c r="S29" s="15">
        <f t="shared" si="2"/>
        <v>3059</v>
      </c>
    </row>
    <row r="30" spans="1:19" x14ac:dyDescent="0.35">
      <c r="A30" t="s">
        <v>79</v>
      </c>
      <c r="B30" s="3"/>
      <c r="C30" s="3">
        <v>1142</v>
      </c>
      <c r="D30" s="3"/>
      <c r="E30" s="3">
        <v>700</v>
      </c>
      <c r="F30" s="3"/>
      <c r="G30" s="3">
        <v>840</v>
      </c>
      <c r="I30" s="14">
        <f>-C30/3</f>
        <v>-380.66666666666669</v>
      </c>
      <c r="J30" s="3"/>
      <c r="K30" s="3"/>
      <c r="L30" s="3"/>
      <c r="M30" s="15"/>
      <c r="O30" s="14">
        <f t="shared" si="0"/>
        <v>761.33333333333326</v>
      </c>
      <c r="P30" s="3"/>
      <c r="Q30" s="3">
        <f t="shared" si="1"/>
        <v>700</v>
      </c>
      <c r="R30" s="3"/>
      <c r="S30" s="15">
        <f t="shared" si="2"/>
        <v>840</v>
      </c>
    </row>
    <row r="31" spans="1:19" x14ac:dyDescent="0.35">
      <c r="A31" t="s">
        <v>80</v>
      </c>
      <c r="B31" s="3"/>
      <c r="C31" s="3">
        <v>14592</v>
      </c>
      <c r="D31" s="3"/>
      <c r="E31" s="3">
        <v>14592</v>
      </c>
      <c r="F31" s="3"/>
      <c r="G31" s="3">
        <v>22662</v>
      </c>
      <c r="I31" s="14"/>
      <c r="J31" s="3"/>
      <c r="K31" s="3"/>
      <c r="L31" s="3"/>
      <c r="M31" s="15"/>
      <c r="O31" s="14">
        <f t="shared" si="0"/>
        <v>14592</v>
      </c>
      <c r="P31" s="3"/>
      <c r="Q31" s="3">
        <f t="shared" si="1"/>
        <v>14592</v>
      </c>
      <c r="R31" s="3"/>
      <c r="S31" s="15">
        <f t="shared" si="2"/>
        <v>22662</v>
      </c>
    </row>
    <row r="32" spans="1:19" x14ac:dyDescent="0.35">
      <c r="A32" t="s">
        <v>35</v>
      </c>
      <c r="B32" s="3"/>
      <c r="C32" s="3">
        <v>3357</v>
      </c>
      <c r="D32" s="3"/>
      <c r="E32" s="3">
        <v>7369</v>
      </c>
      <c r="F32" s="3"/>
      <c r="G32" s="3">
        <v>8180</v>
      </c>
      <c r="I32" s="14"/>
      <c r="J32" s="3"/>
      <c r="K32" s="3"/>
      <c r="L32" s="3"/>
      <c r="M32" s="15"/>
      <c r="O32" s="14">
        <f t="shared" si="0"/>
        <v>3357</v>
      </c>
      <c r="P32" s="3"/>
      <c r="Q32" s="3">
        <f t="shared" si="1"/>
        <v>7369</v>
      </c>
      <c r="R32" s="3"/>
      <c r="S32" s="15">
        <f t="shared" si="2"/>
        <v>8180</v>
      </c>
    </row>
    <row r="33" spans="1:19" x14ac:dyDescent="0.35">
      <c r="A33" t="s">
        <v>81</v>
      </c>
      <c r="B33" s="3"/>
      <c r="C33" s="3">
        <v>16401</v>
      </c>
      <c r="D33" s="3"/>
      <c r="E33" s="3">
        <v>8956</v>
      </c>
      <c r="F33" s="3"/>
      <c r="G33" s="3">
        <v>5943</v>
      </c>
      <c r="I33" s="14"/>
      <c r="J33" s="3"/>
      <c r="K33" s="3"/>
      <c r="L33" s="3"/>
      <c r="M33" s="15"/>
      <c r="O33" s="14">
        <f t="shared" si="0"/>
        <v>16401</v>
      </c>
      <c r="P33" s="3"/>
      <c r="Q33" s="3">
        <f t="shared" si="1"/>
        <v>8956</v>
      </c>
      <c r="R33" s="3"/>
      <c r="S33" s="15">
        <f t="shared" si="2"/>
        <v>5943</v>
      </c>
    </row>
    <row r="34" spans="1:19" x14ac:dyDescent="0.35">
      <c r="A34" t="s">
        <v>13</v>
      </c>
      <c r="B34" s="3"/>
      <c r="C34" s="3">
        <v>11332</v>
      </c>
      <c r="D34" s="3"/>
      <c r="E34" s="3">
        <v>6899</v>
      </c>
      <c r="F34" s="3"/>
      <c r="G34" s="3">
        <v>5131</v>
      </c>
      <c r="I34" s="14"/>
      <c r="J34" s="3"/>
      <c r="K34" s="3"/>
      <c r="L34" s="3"/>
      <c r="M34" s="15"/>
      <c r="O34" s="14">
        <f t="shared" si="0"/>
        <v>11332</v>
      </c>
      <c r="P34" s="3"/>
      <c r="Q34" s="3">
        <f t="shared" si="1"/>
        <v>6899</v>
      </c>
      <c r="R34" s="3"/>
      <c r="S34" s="15">
        <f t="shared" si="2"/>
        <v>5131</v>
      </c>
    </row>
    <row r="35" spans="1:19" x14ac:dyDescent="0.35">
      <c r="A35" t="s">
        <v>14</v>
      </c>
      <c r="B35" s="3"/>
      <c r="C35" s="3">
        <v>961</v>
      </c>
      <c r="D35" s="3"/>
      <c r="E35" s="3">
        <v>499</v>
      </c>
      <c r="F35" s="3"/>
      <c r="G35" s="3">
        <v>106</v>
      </c>
      <c r="I35" s="14"/>
      <c r="J35" s="3"/>
      <c r="K35" s="3"/>
      <c r="L35" s="3"/>
      <c r="M35" s="15"/>
      <c r="O35" s="14">
        <f t="shared" si="0"/>
        <v>961</v>
      </c>
      <c r="P35" s="3"/>
      <c r="Q35" s="3">
        <f t="shared" si="1"/>
        <v>499</v>
      </c>
      <c r="R35" s="3"/>
      <c r="S35" s="15">
        <f t="shared" si="2"/>
        <v>106</v>
      </c>
    </row>
    <row r="36" spans="1:19" x14ac:dyDescent="0.35">
      <c r="A36" t="s">
        <v>15</v>
      </c>
      <c r="B36" s="3"/>
      <c r="C36" s="8">
        <v>30445</v>
      </c>
      <c r="D36" s="3"/>
      <c r="E36" s="8">
        <v>19751</v>
      </c>
      <c r="F36" s="3"/>
      <c r="G36" s="8">
        <v>13930</v>
      </c>
      <c r="I36" s="21">
        <v>10000</v>
      </c>
      <c r="J36" s="3"/>
      <c r="K36" s="8"/>
      <c r="L36" s="3"/>
      <c r="M36" s="20"/>
      <c r="O36" s="21">
        <f t="shared" si="0"/>
        <v>40445</v>
      </c>
      <c r="P36" s="3"/>
      <c r="Q36" s="8">
        <f t="shared" si="1"/>
        <v>19751</v>
      </c>
      <c r="R36" s="3"/>
      <c r="S36" s="20">
        <f t="shared" si="2"/>
        <v>13930</v>
      </c>
    </row>
    <row r="37" spans="1:19" x14ac:dyDescent="0.35">
      <c r="A37" t="s">
        <v>82</v>
      </c>
      <c r="B37" s="3"/>
      <c r="C37" s="8">
        <v>7024</v>
      </c>
      <c r="D37" s="3"/>
      <c r="E37" s="8">
        <v>5202</v>
      </c>
      <c r="F37" s="3"/>
      <c r="G37" s="8">
        <v>3788</v>
      </c>
      <c r="I37" s="21"/>
      <c r="J37" s="3"/>
      <c r="K37" s="8"/>
      <c r="L37" s="3"/>
      <c r="M37" s="20"/>
      <c r="O37" s="21">
        <f t="shared" si="0"/>
        <v>7024</v>
      </c>
      <c r="P37" s="3"/>
      <c r="Q37" s="8">
        <f t="shared" si="1"/>
        <v>5202</v>
      </c>
      <c r="R37" s="3"/>
      <c r="S37" s="20">
        <f t="shared" si="2"/>
        <v>3788</v>
      </c>
    </row>
    <row r="38" spans="1:19" x14ac:dyDescent="0.35">
      <c r="A38" t="s">
        <v>16</v>
      </c>
      <c r="B38" s="3"/>
      <c r="C38" s="8">
        <v>4381</v>
      </c>
      <c r="D38" s="3"/>
      <c r="E38" s="8">
        <v>3191</v>
      </c>
      <c r="F38" s="3"/>
      <c r="G38" s="8">
        <v>6591</v>
      </c>
      <c r="I38" s="21"/>
      <c r="J38" s="3"/>
      <c r="K38" s="8"/>
      <c r="L38" s="3"/>
      <c r="M38" s="20"/>
      <c r="O38" s="21">
        <f t="shared" si="0"/>
        <v>4381</v>
      </c>
      <c r="P38" s="3"/>
      <c r="Q38" s="8">
        <f t="shared" si="1"/>
        <v>3191</v>
      </c>
      <c r="R38" s="3"/>
      <c r="S38" s="20">
        <f t="shared" si="2"/>
        <v>6591</v>
      </c>
    </row>
    <row r="39" spans="1:19" x14ac:dyDescent="0.35">
      <c r="A39" t="s">
        <v>83</v>
      </c>
      <c r="B39" s="3"/>
      <c r="C39" s="8">
        <v>1129</v>
      </c>
      <c r="D39" s="3"/>
      <c r="E39" s="8">
        <v>2152</v>
      </c>
      <c r="F39" s="3"/>
      <c r="G39" s="8">
        <v>2410</v>
      </c>
      <c r="I39" s="21"/>
      <c r="J39" s="3"/>
      <c r="K39" s="8"/>
      <c r="L39" s="3"/>
      <c r="M39" s="20"/>
      <c r="O39" s="21">
        <f t="shared" si="0"/>
        <v>1129</v>
      </c>
      <c r="P39" s="3"/>
      <c r="Q39" s="8">
        <f t="shared" si="1"/>
        <v>2152</v>
      </c>
      <c r="R39" s="3"/>
      <c r="S39" s="20">
        <f t="shared" si="2"/>
        <v>2410</v>
      </c>
    </row>
    <row r="40" spans="1:19" x14ac:dyDescent="0.35">
      <c r="A40" t="s">
        <v>84</v>
      </c>
      <c r="B40" s="3"/>
      <c r="C40" s="8">
        <v>43426</v>
      </c>
      <c r="D40" s="3"/>
      <c r="E40" s="8">
        <v>32827</v>
      </c>
      <c r="F40" s="3"/>
      <c r="G40" s="8">
        <v>31575</v>
      </c>
      <c r="I40" s="21">
        <v>40000</v>
      </c>
      <c r="J40" s="3"/>
      <c r="K40" s="8"/>
      <c r="L40" s="3"/>
      <c r="M40" s="20"/>
      <c r="O40" s="21">
        <f t="shared" si="0"/>
        <v>83426</v>
      </c>
      <c r="P40" s="3"/>
      <c r="Q40" s="8">
        <f t="shared" si="1"/>
        <v>32827</v>
      </c>
      <c r="R40" s="3"/>
      <c r="S40" s="20">
        <f t="shared" si="2"/>
        <v>31575</v>
      </c>
    </row>
    <row r="41" spans="1:19" x14ac:dyDescent="0.35">
      <c r="A41" t="s">
        <v>85</v>
      </c>
      <c r="B41" s="3"/>
      <c r="C41" s="3">
        <v>98</v>
      </c>
      <c r="D41" s="3"/>
      <c r="E41" s="3">
        <v>86</v>
      </c>
      <c r="F41" s="3"/>
      <c r="G41" s="3">
        <v>29</v>
      </c>
      <c r="I41" s="14"/>
      <c r="J41" s="3"/>
      <c r="K41" s="3"/>
      <c r="L41" s="3"/>
      <c r="M41" s="15"/>
      <c r="O41" s="14">
        <f t="shared" si="0"/>
        <v>98</v>
      </c>
      <c r="P41" s="3"/>
      <c r="Q41" s="3">
        <f t="shared" si="1"/>
        <v>86</v>
      </c>
      <c r="R41" s="3"/>
      <c r="S41" s="15">
        <f t="shared" si="2"/>
        <v>29</v>
      </c>
    </row>
    <row r="42" spans="1:19" x14ac:dyDescent="0.35">
      <c r="A42" t="s">
        <v>86</v>
      </c>
      <c r="B42" s="3"/>
      <c r="C42" s="3">
        <v>1695</v>
      </c>
      <c r="D42" s="3"/>
      <c r="E42" s="3">
        <v>870</v>
      </c>
      <c r="F42" s="3"/>
      <c r="G42" s="3">
        <v>317</v>
      </c>
      <c r="I42" s="14"/>
      <c r="J42" s="3"/>
      <c r="K42" s="3"/>
      <c r="L42" s="3"/>
      <c r="M42" s="15"/>
      <c r="O42" s="14">
        <f t="shared" si="0"/>
        <v>1695</v>
      </c>
      <c r="P42" s="3"/>
      <c r="Q42" s="3">
        <f t="shared" si="1"/>
        <v>870</v>
      </c>
      <c r="R42" s="3"/>
      <c r="S42" s="15">
        <f t="shared" si="2"/>
        <v>317</v>
      </c>
    </row>
    <row r="43" spans="1:19" x14ac:dyDescent="0.35">
      <c r="A43" t="s">
        <v>17</v>
      </c>
      <c r="B43" s="3"/>
      <c r="C43" s="3">
        <v>5035</v>
      </c>
      <c r="D43" s="3"/>
      <c r="E43" s="3">
        <v>1487</v>
      </c>
      <c r="F43" s="3"/>
      <c r="G43" s="3">
        <v>0</v>
      </c>
      <c r="I43" s="14"/>
      <c r="J43" s="3"/>
      <c r="K43" s="3"/>
      <c r="L43" s="3"/>
      <c r="M43" s="15"/>
      <c r="O43" s="14">
        <f t="shared" si="0"/>
        <v>5035</v>
      </c>
      <c r="P43" s="3"/>
      <c r="Q43" s="3">
        <f t="shared" si="1"/>
        <v>1487</v>
      </c>
      <c r="R43" s="3"/>
      <c r="S43" s="15">
        <f t="shared" si="2"/>
        <v>0</v>
      </c>
    </row>
    <row r="44" spans="1:19" x14ac:dyDescent="0.35">
      <c r="A44" t="s">
        <v>87</v>
      </c>
      <c r="B44" s="3"/>
      <c r="C44" s="3">
        <v>436</v>
      </c>
      <c r="D44" s="3"/>
      <c r="E44" s="3">
        <v>360</v>
      </c>
      <c r="F44" s="3"/>
      <c r="G44" s="3">
        <v>0</v>
      </c>
      <c r="I44" s="14">
        <v>20000</v>
      </c>
      <c r="J44" s="3"/>
      <c r="K44" s="3"/>
      <c r="L44" s="3"/>
      <c r="M44" s="15"/>
      <c r="O44" s="14">
        <f t="shared" si="0"/>
        <v>20436</v>
      </c>
      <c r="P44" s="3"/>
      <c r="Q44" s="3">
        <f t="shared" si="1"/>
        <v>360</v>
      </c>
      <c r="R44" s="3"/>
      <c r="S44" s="15">
        <f t="shared" si="2"/>
        <v>0</v>
      </c>
    </row>
    <row r="45" spans="1:19" x14ac:dyDescent="0.35">
      <c r="A45" t="s">
        <v>88</v>
      </c>
      <c r="B45" s="3"/>
      <c r="C45" s="3">
        <v>4010</v>
      </c>
      <c r="D45" s="3"/>
      <c r="E45" s="3">
        <v>2291</v>
      </c>
      <c r="F45" s="3"/>
      <c r="G45" s="3">
        <v>1332</v>
      </c>
      <c r="I45" s="14"/>
      <c r="J45" s="3"/>
      <c r="K45" s="3"/>
      <c r="L45" s="3"/>
      <c r="M45" s="15"/>
      <c r="O45" s="14">
        <f t="shared" si="0"/>
        <v>4010</v>
      </c>
      <c r="P45" s="3"/>
      <c r="Q45" s="3">
        <f t="shared" si="1"/>
        <v>2291</v>
      </c>
      <c r="R45" s="3"/>
      <c r="S45" s="15">
        <f t="shared" si="2"/>
        <v>1332</v>
      </c>
    </row>
    <row r="46" spans="1:19" x14ac:dyDescent="0.35">
      <c r="A46" t="s">
        <v>18</v>
      </c>
      <c r="B46" s="3"/>
      <c r="C46" s="5">
        <v>75</v>
      </c>
      <c r="D46" s="3"/>
      <c r="E46" s="5">
        <v>-3</v>
      </c>
      <c r="F46" s="3"/>
      <c r="G46" s="5">
        <v>-1</v>
      </c>
      <c r="I46" s="16"/>
      <c r="J46" s="3"/>
      <c r="K46" s="5"/>
      <c r="L46" s="3"/>
      <c r="M46" s="17"/>
      <c r="O46" s="16">
        <f t="shared" si="0"/>
        <v>75</v>
      </c>
      <c r="P46" s="3"/>
      <c r="Q46" s="5">
        <f t="shared" si="1"/>
        <v>-3</v>
      </c>
      <c r="R46" s="3"/>
      <c r="S46" s="17">
        <f t="shared" si="2"/>
        <v>-1</v>
      </c>
    </row>
    <row r="47" spans="1:19" x14ac:dyDescent="0.35">
      <c r="C47" s="7">
        <f>-SUM(C20:C46)</f>
        <v>-500004</v>
      </c>
      <c r="E47" s="7">
        <f>-SUM(E20:E46)</f>
        <v>-377416</v>
      </c>
      <c r="F47" s="3"/>
      <c r="G47" s="7">
        <f>-SUM(G20:G46)</f>
        <v>-307490</v>
      </c>
      <c r="I47" s="18">
        <f>-SUM(I20:I46)</f>
        <v>-89647.233333333337</v>
      </c>
      <c r="K47" s="7">
        <f>-SUM(K20:K46)</f>
        <v>48165.2</v>
      </c>
      <c r="L47" s="3"/>
      <c r="M47" s="19">
        <f>-SUM(M20:M46)</f>
        <v>40633.199999999997</v>
      </c>
      <c r="O47" s="18">
        <f t="shared" si="0"/>
        <v>-589651.2333333334</v>
      </c>
      <c r="Q47" s="7">
        <f t="shared" si="1"/>
        <v>-329250.8</v>
      </c>
      <c r="R47" s="3"/>
      <c r="S47" s="19">
        <f t="shared" si="2"/>
        <v>-266856.8</v>
      </c>
    </row>
    <row r="48" spans="1:19" x14ac:dyDescent="0.35">
      <c r="C48" s="3"/>
      <c r="E48" s="3"/>
      <c r="F48" s="3"/>
      <c r="G48" s="3"/>
      <c r="I48" s="14"/>
      <c r="K48" s="3"/>
      <c r="L48" s="3"/>
      <c r="M48" s="15"/>
      <c r="O48" s="14">
        <f t="shared" si="0"/>
        <v>0</v>
      </c>
      <c r="Q48" s="3">
        <f t="shared" si="1"/>
        <v>0</v>
      </c>
      <c r="R48" s="3"/>
      <c r="S48" s="15">
        <f t="shared" si="2"/>
        <v>0</v>
      </c>
    </row>
    <row r="49" spans="1:19" x14ac:dyDescent="0.35">
      <c r="A49" s="4" t="s">
        <v>21</v>
      </c>
      <c r="C49" s="3">
        <f>C17+C47</f>
        <v>312800</v>
      </c>
      <c r="E49" s="3">
        <f>E17+E47</f>
        <v>230328</v>
      </c>
      <c r="F49" s="3"/>
      <c r="G49" s="3">
        <f>G17+G47</f>
        <v>194249</v>
      </c>
      <c r="I49" s="14">
        <f>I17+I47</f>
        <v>-89647.233333333337</v>
      </c>
      <c r="K49" s="3">
        <f>K17+K47</f>
        <v>48165.2</v>
      </c>
      <c r="L49" s="3"/>
      <c r="M49" s="15">
        <f>M17+M47</f>
        <v>40633.199999999997</v>
      </c>
      <c r="O49" s="14">
        <f>C49+I49</f>
        <v>223152.76666666666</v>
      </c>
      <c r="Q49" s="3">
        <f t="shared" si="1"/>
        <v>278493.2</v>
      </c>
      <c r="R49" s="3"/>
      <c r="S49" s="15">
        <f t="shared" si="2"/>
        <v>234882.2</v>
      </c>
    </row>
    <row r="50" spans="1:19" x14ac:dyDescent="0.35">
      <c r="C50" s="3"/>
      <c r="E50" s="3"/>
      <c r="F50" s="3"/>
      <c r="G50" s="3"/>
      <c r="I50" s="14"/>
      <c r="K50" s="3"/>
      <c r="L50" s="3"/>
      <c r="M50" s="15"/>
      <c r="O50" s="14">
        <f t="shared" si="0"/>
        <v>0</v>
      </c>
      <c r="Q50" s="3">
        <f t="shared" si="1"/>
        <v>0</v>
      </c>
      <c r="R50" s="3"/>
      <c r="S50" s="15">
        <f t="shared" si="2"/>
        <v>0</v>
      </c>
    </row>
    <row r="51" spans="1:19" x14ac:dyDescent="0.35">
      <c r="A51" s="4" t="s">
        <v>24</v>
      </c>
      <c r="C51" s="3"/>
      <c r="E51" s="3"/>
      <c r="F51" s="3"/>
      <c r="G51" s="3"/>
      <c r="I51" s="14"/>
      <c r="K51" s="3"/>
      <c r="L51" s="3"/>
      <c r="M51" s="15"/>
      <c r="O51" s="14">
        <f t="shared" si="0"/>
        <v>0</v>
      </c>
      <c r="Q51" s="3">
        <f t="shared" si="1"/>
        <v>0</v>
      </c>
      <c r="R51" s="3"/>
      <c r="S51" s="15">
        <f t="shared" si="2"/>
        <v>0</v>
      </c>
    </row>
    <row r="52" spans="1:19" x14ac:dyDescent="0.35">
      <c r="A52" t="s">
        <v>25</v>
      </c>
      <c r="C52" s="5">
        <v>4854</v>
      </c>
      <c r="E52" s="5">
        <v>4159</v>
      </c>
      <c r="F52" s="3"/>
      <c r="G52" s="5">
        <v>556</v>
      </c>
      <c r="I52" s="16">
        <f>-C52</f>
        <v>-4854</v>
      </c>
      <c r="K52" s="5">
        <f>-E52</f>
        <v>-4159</v>
      </c>
      <c r="L52" s="3"/>
      <c r="M52" s="17">
        <f>-G52</f>
        <v>-556</v>
      </c>
      <c r="O52" s="16">
        <f t="shared" si="0"/>
        <v>0</v>
      </c>
      <c r="Q52" s="5">
        <f t="shared" si="0"/>
        <v>0</v>
      </c>
      <c r="R52" s="3"/>
      <c r="S52" s="17">
        <f t="shared" si="0"/>
        <v>0</v>
      </c>
    </row>
    <row r="53" spans="1:19" x14ac:dyDescent="0.35">
      <c r="C53" s="7">
        <f>SUM(C52)</f>
        <v>4854</v>
      </c>
      <c r="E53" s="7">
        <f>SUM(E52)</f>
        <v>4159</v>
      </c>
      <c r="F53" s="3"/>
      <c r="G53" s="7">
        <f>SUM(G52)</f>
        <v>556</v>
      </c>
      <c r="I53" s="18">
        <f>SUM(I52)</f>
        <v>-4854</v>
      </c>
      <c r="K53" s="7">
        <f>SUM(K52)</f>
        <v>-4159</v>
      </c>
      <c r="L53" s="3"/>
      <c r="M53" s="19">
        <f>SUM(M52)</f>
        <v>-556</v>
      </c>
      <c r="O53" s="18">
        <f>C53+I53</f>
        <v>0</v>
      </c>
      <c r="Q53" s="7">
        <f t="shared" si="1"/>
        <v>0</v>
      </c>
      <c r="R53" s="3"/>
      <c r="S53" s="19">
        <f t="shared" si="2"/>
        <v>0</v>
      </c>
    </row>
    <row r="54" spans="1:19" x14ac:dyDescent="0.35">
      <c r="C54" s="3"/>
      <c r="E54" s="3"/>
      <c r="F54" s="3"/>
      <c r="G54" s="3"/>
      <c r="I54" s="14">
        <f>-C54</f>
        <v>0</v>
      </c>
      <c r="K54" s="3"/>
      <c r="L54" s="3"/>
      <c r="M54" s="15"/>
      <c r="O54" s="14">
        <f t="shared" si="0"/>
        <v>0</v>
      </c>
      <c r="Q54" s="3">
        <f t="shared" si="1"/>
        <v>0</v>
      </c>
      <c r="R54" s="3"/>
      <c r="S54" s="15">
        <f t="shared" si="2"/>
        <v>0</v>
      </c>
    </row>
    <row r="55" spans="1:19" x14ac:dyDescent="0.35">
      <c r="A55" s="4" t="s">
        <v>22</v>
      </c>
      <c r="C55" s="3"/>
      <c r="E55" s="3"/>
      <c r="F55" s="3"/>
      <c r="G55" s="3"/>
      <c r="I55" s="14"/>
      <c r="K55" s="3"/>
      <c r="L55" s="3"/>
      <c r="M55" s="15"/>
      <c r="O55" s="14">
        <f t="shared" si="0"/>
        <v>0</v>
      </c>
      <c r="Q55" s="3">
        <f t="shared" si="1"/>
        <v>0</v>
      </c>
      <c r="R55" s="3"/>
      <c r="S55" s="15">
        <f t="shared" si="2"/>
        <v>0</v>
      </c>
    </row>
    <row r="56" spans="1:19" x14ac:dyDescent="0.35">
      <c r="A56" t="s">
        <v>23</v>
      </c>
      <c r="C56" s="5">
        <v>791</v>
      </c>
      <c r="E56" s="5">
        <v>861</v>
      </c>
      <c r="F56" s="3"/>
      <c r="G56" s="5">
        <v>1071</v>
      </c>
      <c r="I56" s="16">
        <f>-C56</f>
        <v>-791</v>
      </c>
      <c r="K56" s="5">
        <f>-E56</f>
        <v>-861</v>
      </c>
      <c r="L56" s="3"/>
      <c r="M56" s="17">
        <f>-G56</f>
        <v>-1071</v>
      </c>
      <c r="O56" s="16">
        <f t="shared" si="0"/>
        <v>0</v>
      </c>
      <c r="Q56" s="5">
        <f t="shared" si="0"/>
        <v>0</v>
      </c>
      <c r="R56" s="3"/>
      <c r="S56" s="17">
        <f t="shared" si="0"/>
        <v>0</v>
      </c>
    </row>
    <row r="57" spans="1:19" x14ac:dyDescent="0.35">
      <c r="C57" s="7">
        <f>-SUM(C56:C56)</f>
        <v>-791</v>
      </c>
      <c r="E57" s="7">
        <f>-SUM(E56:E56)</f>
        <v>-861</v>
      </c>
      <c r="F57" s="3"/>
      <c r="G57" s="7">
        <f>-SUM(G56:G56)</f>
        <v>-1071</v>
      </c>
      <c r="I57" s="18">
        <f>-SUM(I56)</f>
        <v>791</v>
      </c>
      <c r="K57" s="7">
        <f>-SUM(K56)</f>
        <v>861</v>
      </c>
      <c r="L57" s="3"/>
      <c r="M57" s="19">
        <f>-SUM(M56)</f>
        <v>1071</v>
      </c>
      <c r="O57" s="18">
        <f t="shared" si="0"/>
        <v>0</v>
      </c>
      <c r="Q57" s="7">
        <f t="shared" si="1"/>
        <v>0</v>
      </c>
      <c r="R57" s="3"/>
      <c r="S57" s="19">
        <f t="shared" si="2"/>
        <v>0</v>
      </c>
    </row>
    <row r="58" spans="1:19" x14ac:dyDescent="0.35">
      <c r="C58" s="3"/>
      <c r="E58" s="3"/>
      <c r="F58" s="3"/>
      <c r="G58" s="3"/>
      <c r="I58" s="14"/>
      <c r="K58" s="3"/>
      <c r="L58" s="3"/>
      <c r="M58" s="15"/>
      <c r="O58" s="14"/>
      <c r="Q58" s="3"/>
      <c r="R58" s="3"/>
      <c r="S58" s="15"/>
    </row>
    <row r="59" spans="1:19" x14ac:dyDescent="0.35">
      <c r="A59" s="4" t="s">
        <v>26</v>
      </c>
      <c r="C59" s="5">
        <f>C49+C53+C57</f>
        <v>316863</v>
      </c>
      <c r="E59" s="5">
        <f>E49+E53+E57</f>
        <v>233626</v>
      </c>
      <c r="F59" s="3"/>
      <c r="G59" s="5">
        <f>G49+G53+G57</f>
        <v>193734</v>
      </c>
      <c r="I59" s="16">
        <f>I49+I53+I57</f>
        <v>-93710.233333333337</v>
      </c>
      <c r="K59" s="5">
        <f>K49+K53+K57</f>
        <v>44867.199999999997</v>
      </c>
      <c r="L59" s="3"/>
      <c r="M59" s="17">
        <f>M49+M53+M57</f>
        <v>41148.199999999997</v>
      </c>
      <c r="O59" s="16">
        <f t="shared" si="0"/>
        <v>223152.76666666666</v>
      </c>
      <c r="Q59" s="5">
        <f t="shared" si="0"/>
        <v>278493.2</v>
      </c>
      <c r="R59" s="3"/>
      <c r="S59" s="17">
        <f t="shared" si="0"/>
        <v>234882.2</v>
      </c>
    </row>
    <row r="60" spans="1:19" x14ac:dyDescent="0.35">
      <c r="C60" s="3"/>
      <c r="E60" s="3"/>
      <c r="F60" s="3"/>
      <c r="G60" s="3"/>
      <c r="I60" s="14"/>
      <c r="K60" s="3"/>
      <c r="L60" s="3"/>
      <c r="M60" s="15"/>
      <c r="O60" s="14"/>
      <c r="Q60" s="3"/>
      <c r="R60" s="3"/>
      <c r="S60" s="15"/>
    </row>
    <row r="61" spans="1:19" x14ac:dyDescent="0.35">
      <c r="A61" s="4" t="s">
        <v>27</v>
      </c>
      <c r="C61" s="3"/>
      <c r="E61" s="3"/>
      <c r="F61" s="3"/>
      <c r="G61" s="3"/>
      <c r="I61" s="14"/>
      <c r="K61" s="3"/>
      <c r="L61" s="3"/>
      <c r="M61" s="15"/>
      <c r="O61" s="14"/>
      <c r="Q61" s="3"/>
      <c r="R61" s="3"/>
      <c r="S61" s="15"/>
    </row>
    <row r="62" spans="1:19" x14ac:dyDescent="0.35">
      <c r="A62" t="s">
        <v>28</v>
      </c>
      <c r="C62" s="3">
        <v>78656</v>
      </c>
      <c r="E62" s="3">
        <v>57541</v>
      </c>
      <c r="F62" s="3"/>
      <c r="G62" s="3">
        <v>38773</v>
      </c>
      <c r="I62" s="14">
        <f>-C62</f>
        <v>-78656</v>
      </c>
      <c r="K62" s="3">
        <f>-E62</f>
        <v>-57541</v>
      </c>
      <c r="L62" s="3"/>
      <c r="M62" s="15">
        <f>-G62</f>
        <v>-38773</v>
      </c>
      <c r="O62" s="14">
        <f t="shared" ref="O62:O63" si="3">C62+I62</f>
        <v>0</v>
      </c>
      <c r="Q62" s="3">
        <f t="shared" ref="Q62:Q63" si="4">E62+K62</f>
        <v>0</v>
      </c>
      <c r="R62" s="3"/>
      <c r="S62" s="15">
        <f t="shared" ref="S62:S63" si="5">G62+M62</f>
        <v>0</v>
      </c>
    </row>
    <row r="63" spans="1:19" x14ac:dyDescent="0.35">
      <c r="A63" t="s">
        <v>89</v>
      </c>
      <c r="C63" s="3">
        <v>560</v>
      </c>
      <c r="E63" s="5">
        <v>1097</v>
      </c>
      <c r="F63" s="3"/>
      <c r="G63" s="5">
        <v>114</v>
      </c>
      <c r="I63" s="16">
        <f>-C63</f>
        <v>-560</v>
      </c>
      <c r="K63" s="5">
        <f>-E63</f>
        <v>-1097</v>
      </c>
      <c r="L63" s="3"/>
      <c r="M63" s="17">
        <f>-G63</f>
        <v>-114</v>
      </c>
      <c r="O63" s="16">
        <f t="shared" si="3"/>
        <v>0</v>
      </c>
      <c r="Q63" s="5">
        <f t="shared" si="4"/>
        <v>0</v>
      </c>
      <c r="R63" s="3"/>
      <c r="S63" s="17">
        <f t="shared" si="5"/>
        <v>0</v>
      </c>
    </row>
    <row r="64" spans="1:19" x14ac:dyDescent="0.35">
      <c r="C64" s="7">
        <f>-SUM(C62:C63)</f>
        <v>-79216</v>
      </c>
      <c r="E64" s="7">
        <f>-SUM(E62:E63)</f>
        <v>-58638</v>
      </c>
      <c r="F64" s="3"/>
      <c r="G64" s="7">
        <f>-SUM(G62:G63)</f>
        <v>-38887</v>
      </c>
      <c r="I64" s="18">
        <f>-SUM(I62:I63)</f>
        <v>79216</v>
      </c>
      <c r="K64" s="7">
        <f>-SUM(K62:K63)</f>
        <v>58638</v>
      </c>
      <c r="L64" s="3"/>
      <c r="M64" s="19">
        <f>-SUM(M62:M63)</f>
        <v>38887</v>
      </c>
      <c r="O64" s="18">
        <f>-SUM(O62:O63)</f>
        <v>0</v>
      </c>
      <c r="Q64" s="7">
        <f>-SUM(Q62:Q63)</f>
        <v>0</v>
      </c>
      <c r="R64" s="3"/>
      <c r="S64" s="19">
        <f>-SUM(S62:S63)</f>
        <v>0</v>
      </c>
    </row>
    <row r="65" spans="1:19" x14ac:dyDescent="0.35">
      <c r="A65" s="4" t="s">
        <v>29</v>
      </c>
      <c r="C65" s="3"/>
      <c r="E65" s="3"/>
      <c r="F65" s="3"/>
      <c r="G65" s="3"/>
      <c r="I65" s="14"/>
      <c r="K65" s="3"/>
      <c r="L65" s="3"/>
      <c r="M65" s="15"/>
      <c r="O65" s="14"/>
      <c r="Q65" s="3"/>
      <c r="R65" s="3"/>
      <c r="S65" s="15"/>
    </row>
    <row r="66" spans="1:19" ht="15" thickBot="1" x14ac:dyDescent="0.4">
      <c r="A66" s="4" t="s">
        <v>30</v>
      </c>
      <c r="C66" s="6">
        <f>C59+C64</f>
        <v>237647</v>
      </c>
      <c r="E66" s="6">
        <f>E59+E64</f>
        <v>174988</v>
      </c>
      <c r="F66" s="3"/>
      <c r="G66" s="6">
        <f>G59+G64</f>
        <v>154847</v>
      </c>
      <c r="I66" s="31">
        <f>I59+I64</f>
        <v>-14494.233333333337</v>
      </c>
      <c r="K66" s="6">
        <f>K59+K64</f>
        <v>103505.2</v>
      </c>
      <c r="L66" s="3"/>
      <c r="M66" s="32">
        <f>M59+M64</f>
        <v>80035.199999999997</v>
      </c>
      <c r="O66" s="31">
        <f>O59+O64</f>
        <v>223152.76666666666</v>
      </c>
      <c r="Q66" s="6">
        <f>Q59+Q64</f>
        <v>278493.2</v>
      </c>
      <c r="R66" s="3"/>
      <c r="S66" s="32">
        <f>S59+S64</f>
        <v>234882.2</v>
      </c>
    </row>
    <row r="67" spans="1:19" ht="15.5" thickTop="1" thickBot="1" x14ac:dyDescent="0.4">
      <c r="A67" s="4"/>
      <c r="C67" s="3"/>
      <c r="D67" s="3"/>
      <c r="E67" s="3"/>
      <c r="F67" s="3"/>
      <c r="G67" s="3"/>
      <c r="I67" s="22"/>
      <c r="J67" s="23"/>
      <c r="K67" s="23"/>
      <c r="L67" s="23"/>
      <c r="M67" s="24"/>
      <c r="O67" s="22"/>
      <c r="P67" s="23"/>
      <c r="Q67" s="23"/>
      <c r="R67" s="23"/>
      <c r="S67" s="24"/>
    </row>
  </sheetData>
  <mergeCells count="2">
    <mergeCell ref="I3:M3"/>
    <mergeCell ref="O3:S3"/>
  </mergeCells>
  <pageMargins left="0.7" right="0.7" top="0.75" bottom="0.75" header="0.3" footer="0.3"/>
  <pageSetup scale="47" fitToHeight="0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6105-DBFF-428D-A499-6E6AC472A93A}">
  <dimension ref="A1:V60"/>
  <sheetViews>
    <sheetView topLeftCell="A13" workbookViewId="0">
      <selection activeCell="V28" sqref="V28:V34"/>
    </sheetView>
  </sheetViews>
  <sheetFormatPr defaultRowHeight="14.5" x14ac:dyDescent="0.35"/>
  <cols>
    <col min="1" max="1" width="21.453125" bestFit="1" customWidth="1"/>
    <col min="3" max="3" width="21.453125" customWidth="1"/>
    <col min="4" max="4" width="11.1796875" customWidth="1"/>
    <col min="5" max="5" width="9.453125" bestFit="1" customWidth="1"/>
    <col min="6" max="6" width="4.26953125" customWidth="1"/>
    <col min="7" max="7" width="9.453125" bestFit="1" customWidth="1"/>
    <col min="14" max="14" width="19" customWidth="1"/>
    <col min="16" max="16" width="10.1796875" bestFit="1" customWidth="1"/>
    <col min="18" max="18" width="10.453125" customWidth="1"/>
    <col min="20" max="20" width="10.54296875" customWidth="1"/>
    <col min="22" max="22" width="10.1796875" bestFit="1" customWidth="1"/>
  </cols>
  <sheetData>
    <row r="1" spans="1:22" x14ac:dyDescent="0.35">
      <c r="A1" t="str">
        <f>Cover!D11</f>
        <v>View HR Limited</v>
      </c>
      <c r="N1" t="s">
        <v>73</v>
      </c>
    </row>
    <row r="2" spans="1:22" x14ac:dyDescent="0.35">
      <c r="A2" t="s">
        <v>2</v>
      </c>
      <c r="N2" t="s">
        <v>2</v>
      </c>
    </row>
    <row r="4" spans="1:22" x14ac:dyDescent="0.35">
      <c r="C4" s="2">
        <v>2025</v>
      </c>
      <c r="D4" s="2"/>
      <c r="E4" s="2">
        <v>2024</v>
      </c>
      <c r="F4" s="2"/>
      <c r="G4" s="2">
        <v>2023</v>
      </c>
      <c r="I4" s="4" t="s">
        <v>62</v>
      </c>
      <c r="P4" s="2">
        <v>2025</v>
      </c>
      <c r="Q4" s="2"/>
      <c r="R4" s="2">
        <v>2024</v>
      </c>
      <c r="S4" s="2"/>
      <c r="T4" s="2">
        <v>2023</v>
      </c>
      <c r="V4" s="4" t="s">
        <v>62</v>
      </c>
    </row>
    <row r="5" spans="1:22" x14ac:dyDescent="0.35">
      <c r="C5" s="2" t="s">
        <v>3</v>
      </c>
      <c r="D5" s="2"/>
      <c r="E5" s="2" t="s">
        <v>3</v>
      </c>
      <c r="F5" s="2"/>
      <c r="G5" s="2" t="s">
        <v>3</v>
      </c>
      <c r="P5" s="2" t="s">
        <v>3</v>
      </c>
      <c r="Q5" s="2"/>
      <c r="R5" s="2" t="s">
        <v>3</v>
      </c>
      <c r="S5" s="2"/>
      <c r="T5" s="2" t="s">
        <v>3</v>
      </c>
    </row>
    <row r="7" spans="1:22" x14ac:dyDescent="0.35">
      <c r="A7" t="s">
        <v>7</v>
      </c>
      <c r="C7" s="3">
        <f>'Ebitda workings'!O9</f>
        <v>859085</v>
      </c>
      <c r="E7" s="3">
        <f>'Ebitda workings'!Q9</f>
        <v>664804</v>
      </c>
      <c r="G7" s="3">
        <f>'Ebitda workings'!S9</f>
        <v>549888</v>
      </c>
      <c r="N7" t="s">
        <v>7</v>
      </c>
      <c r="P7" s="3">
        <v>859085</v>
      </c>
      <c r="R7" s="3">
        <v>664804</v>
      </c>
      <c r="T7" s="3">
        <v>549888</v>
      </c>
    </row>
    <row r="9" spans="1:22" x14ac:dyDescent="0.35">
      <c r="A9" t="s">
        <v>8</v>
      </c>
      <c r="C9" s="7">
        <f>'Ebitda workings'!O15</f>
        <v>-46743</v>
      </c>
      <c r="E9" s="7">
        <f>'Ebitda workings'!Q15</f>
        <v>-57960</v>
      </c>
      <c r="G9" s="7">
        <f>'Ebitda workings'!S15</f>
        <v>-48569</v>
      </c>
      <c r="N9" t="s">
        <v>8</v>
      </c>
      <c r="P9" s="7">
        <v>-46743</v>
      </c>
      <c r="R9" s="7">
        <v>-57960</v>
      </c>
      <c r="T9" s="7">
        <v>-48569</v>
      </c>
    </row>
    <row r="11" spans="1:22" ht="15" thickBot="1" x14ac:dyDescent="0.4">
      <c r="A11" s="4" t="s">
        <v>20</v>
      </c>
      <c r="C11" s="26">
        <f>SUM(C7:C10)</f>
        <v>812342</v>
      </c>
      <c r="E11" s="26">
        <f>SUM(E7:E10)</f>
        <v>606844</v>
      </c>
      <c r="G11" s="26">
        <f>SUM(G7:G10)</f>
        <v>501319</v>
      </c>
      <c r="N11" t="s">
        <v>20</v>
      </c>
      <c r="P11" s="26">
        <f>SUM(P7:P10)</f>
        <v>812342</v>
      </c>
      <c r="R11" s="26">
        <f>SUM(R7:R10)</f>
        <v>606844</v>
      </c>
      <c r="T11" s="26">
        <f>SUM(T7:T10)</f>
        <v>501319</v>
      </c>
    </row>
    <row r="13" spans="1:22" x14ac:dyDescent="0.35">
      <c r="A13" t="s">
        <v>9</v>
      </c>
      <c r="C13" s="7">
        <f>'Ebitda workings'!O47</f>
        <v>-589651.2333333334</v>
      </c>
      <c r="E13" s="7">
        <f>'Ebitda workings'!Q47</f>
        <v>-329250.8</v>
      </c>
      <c r="G13" s="7">
        <f>'Ebitda workings'!S47</f>
        <v>-266856.8</v>
      </c>
      <c r="N13" t="s">
        <v>9</v>
      </c>
      <c r="P13" s="7">
        <v>-450461</v>
      </c>
      <c r="R13" s="7">
        <v>-329250.8</v>
      </c>
      <c r="T13" s="7">
        <v>-266856.8</v>
      </c>
    </row>
    <row r="15" spans="1:22" x14ac:dyDescent="0.35">
      <c r="A15" t="s">
        <v>19</v>
      </c>
      <c r="C15" s="3">
        <f>'Ebitda workings'!O10</f>
        <v>462</v>
      </c>
      <c r="E15" s="3">
        <f>'Ebitda workings'!Q10</f>
        <v>900</v>
      </c>
      <c r="G15" s="3">
        <f>'Ebitda workings'!S10</f>
        <v>420</v>
      </c>
      <c r="N15" t="s">
        <v>19</v>
      </c>
      <c r="P15" s="3">
        <v>462</v>
      </c>
      <c r="R15" s="3">
        <v>900</v>
      </c>
      <c r="T15" s="3">
        <v>420</v>
      </c>
    </row>
    <row r="17" spans="1:22" ht="15" thickBot="1" x14ac:dyDescent="0.4">
      <c r="A17" s="4" t="s">
        <v>60</v>
      </c>
      <c r="C17" s="27">
        <f>SUM(C11:C16)</f>
        <v>223152.7666666666</v>
      </c>
      <c r="E17" s="27">
        <f>SUM(E11:E16)</f>
        <v>278493.2</v>
      </c>
      <c r="G17" s="27">
        <f>SUM(G11:G16)</f>
        <v>234882.2</v>
      </c>
      <c r="I17" s="3">
        <f>SUM(C17:G17)/3</f>
        <v>245509.38888888888</v>
      </c>
      <c r="K17">
        <f>I17*2.215</f>
        <v>543803.29638888885</v>
      </c>
      <c r="L17" s="3"/>
      <c r="M17" s="3"/>
      <c r="N17" s="3" t="s">
        <v>60</v>
      </c>
      <c r="O17" s="3"/>
      <c r="P17" s="27">
        <f>SUM(P11:P16)</f>
        <v>362343</v>
      </c>
      <c r="R17" s="27">
        <f>SUM(R11:R16)</f>
        <v>278493.2</v>
      </c>
      <c r="T17" s="27">
        <f>SUM(T11:T16)</f>
        <v>234882.2</v>
      </c>
      <c r="V17" s="3"/>
    </row>
    <row r="18" spans="1:22" ht="15" thickTop="1" x14ac:dyDescent="0.35"/>
    <row r="19" spans="1:22" x14ac:dyDescent="0.35">
      <c r="A19" t="s">
        <v>61</v>
      </c>
      <c r="C19">
        <v>1</v>
      </c>
      <c r="E19">
        <v>2</v>
      </c>
      <c r="G19">
        <v>3</v>
      </c>
      <c r="I19">
        <v>1.8</v>
      </c>
      <c r="K19">
        <v>3</v>
      </c>
      <c r="N19" t="s">
        <v>105</v>
      </c>
      <c r="P19">
        <v>0.5</v>
      </c>
      <c r="R19">
        <v>0.3</v>
      </c>
      <c r="T19">
        <v>0.2</v>
      </c>
    </row>
    <row r="21" spans="1:22" ht="15" thickBot="1" x14ac:dyDescent="0.4">
      <c r="A21" t="s">
        <v>63</v>
      </c>
      <c r="I21" s="27">
        <f>I17*I19</f>
        <v>441916.89999999997</v>
      </c>
      <c r="P21" s="3">
        <f>P17*P19</f>
        <v>181171.5</v>
      </c>
      <c r="Q21" s="3"/>
      <c r="R21" s="3">
        <f>R17*R19</f>
        <v>83547.960000000006</v>
      </c>
      <c r="S21" s="3"/>
      <c r="T21" s="3">
        <f>T17*T19</f>
        <v>46976.44</v>
      </c>
      <c r="U21" s="3"/>
      <c r="V21" s="3">
        <f>P21+R21+T21</f>
        <v>311695.90000000002</v>
      </c>
    </row>
    <row r="22" spans="1:22" ht="15" thickTop="1" x14ac:dyDescent="0.35"/>
    <row r="23" spans="1:22" x14ac:dyDescent="0.35">
      <c r="N23" t="s">
        <v>106</v>
      </c>
      <c r="P23">
        <v>1</v>
      </c>
      <c r="R23">
        <v>2</v>
      </c>
      <c r="T23">
        <v>3</v>
      </c>
      <c r="V23">
        <v>2.2000000000000002</v>
      </c>
    </row>
    <row r="24" spans="1:22" x14ac:dyDescent="0.35">
      <c r="A24" t="s">
        <v>99</v>
      </c>
    </row>
    <row r="25" spans="1:22" ht="15" thickBot="1" x14ac:dyDescent="0.4">
      <c r="C25" t="s">
        <v>100</v>
      </c>
      <c r="I25" s="3"/>
      <c r="N25" t="s">
        <v>63</v>
      </c>
      <c r="V25" s="27">
        <f>V21*V23</f>
        <v>685730.9800000001</v>
      </c>
    </row>
    <row r="26" spans="1:22" ht="15" thickTop="1" x14ac:dyDescent="0.35"/>
    <row r="27" spans="1:22" x14ac:dyDescent="0.35">
      <c r="C27" t="s">
        <v>101</v>
      </c>
      <c r="I27" s="3"/>
      <c r="N27" t="s">
        <v>99</v>
      </c>
    </row>
    <row r="28" spans="1:22" x14ac:dyDescent="0.35">
      <c r="P28" t="s">
        <v>100</v>
      </c>
      <c r="V28" s="3"/>
    </row>
    <row r="29" spans="1:22" x14ac:dyDescent="0.35">
      <c r="C29" t="s">
        <v>102</v>
      </c>
      <c r="I29" s="3"/>
    </row>
    <row r="30" spans="1:22" x14ac:dyDescent="0.35">
      <c r="P30" t="s">
        <v>101</v>
      </c>
      <c r="V30" s="3"/>
    </row>
    <row r="31" spans="1:22" x14ac:dyDescent="0.35">
      <c r="C31" t="s">
        <v>103</v>
      </c>
      <c r="I31" s="3"/>
    </row>
    <row r="32" spans="1:22" x14ac:dyDescent="0.35">
      <c r="P32" t="s">
        <v>102</v>
      </c>
      <c r="V32" s="3"/>
    </row>
    <row r="33" spans="1:22" x14ac:dyDescent="0.35">
      <c r="A33" s="4" t="s">
        <v>104</v>
      </c>
      <c r="I33" s="3">
        <f>I21-I25-I27-I29-I31</f>
        <v>441916.89999999997</v>
      </c>
    </row>
    <row r="34" spans="1:22" x14ac:dyDescent="0.35">
      <c r="P34" t="s">
        <v>103</v>
      </c>
      <c r="V34" s="3"/>
    </row>
    <row r="36" spans="1:22" x14ac:dyDescent="0.35">
      <c r="N36" s="4" t="s">
        <v>104</v>
      </c>
      <c r="V36" s="3">
        <f>V25-SUM(V28:V34)</f>
        <v>685730.9800000001</v>
      </c>
    </row>
    <row r="40" spans="1:22" x14ac:dyDescent="0.35">
      <c r="E40" s="1" t="s">
        <v>3</v>
      </c>
    </row>
    <row r="41" spans="1:22" x14ac:dyDescent="0.35">
      <c r="A41" t="s">
        <v>65</v>
      </c>
      <c r="E41" s="3">
        <f>I33</f>
        <v>441916.89999999997</v>
      </c>
    </row>
    <row r="44" spans="1:22" x14ac:dyDescent="0.35">
      <c r="A44" t="s">
        <v>66</v>
      </c>
      <c r="E44" s="3">
        <f>'Price of share'!E8</f>
        <v>310</v>
      </c>
    </row>
    <row r="46" spans="1:22" x14ac:dyDescent="0.35">
      <c r="A46" t="s">
        <v>67</v>
      </c>
      <c r="E46" s="25">
        <f>E41/E44</f>
        <v>1425.5383870967742</v>
      </c>
    </row>
    <row r="49" spans="1:5" x14ac:dyDescent="0.35">
      <c r="A49" s="4" t="s">
        <v>68</v>
      </c>
    </row>
    <row r="50" spans="1:5" x14ac:dyDescent="0.35">
      <c r="A50" s="4"/>
      <c r="B50" t="s">
        <v>69</v>
      </c>
      <c r="C50" t="s">
        <v>72</v>
      </c>
      <c r="D50" t="s">
        <v>71</v>
      </c>
      <c r="E50" t="s">
        <v>70</v>
      </c>
    </row>
    <row r="51" spans="1:5" x14ac:dyDescent="0.35">
      <c r="A51" s="4"/>
    </row>
    <row r="52" spans="1:5" x14ac:dyDescent="0.35">
      <c r="A52" t="s">
        <v>91</v>
      </c>
      <c r="B52" s="3">
        <v>91</v>
      </c>
      <c r="C52" s="3" t="s">
        <v>94</v>
      </c>
      <c r="D52" s="25">
        <f>$E$46</f>
        <v>1425.5383870967742</v>
      </c>
      <c r="E52" s="3">
        <f>B52*D52</f>
        <v>129723.99322580645</v>
      </c>
    </row>
    <row r="53" spans="1:5" x14ac:dyDescent="0.35">
      <c r="A53" t="s">
        <v>92</v>
      </c>
      <c r="B53" s="3">
        <v>89</v>
      </c>
      <c r="C53" s="3" t="s">
        <v>94</v>
      </c>
      <c r="D53" s="25">
        <f t="shared" ref="D53:D57" si="0">$E$46</f>
        <v>1425.5383870967742</v>
      </c>
      <c r="E53" s="3">
        <f t="shared" ref="E53:E57" si="1">B53*D53</f>
        <v>126872.91645161289</v>
      </c>
    </row>
    <row r="54" spans="1:5" x14ac:dyDescent="0.35">
      <c r="A54" t="s">
        <v>93</v>
      </c>
      <c r="B54" s="3">
        <v>20</v>
      </c>
      <c r="C54" s="3" t="s">
        <v>94</v>
      </c>
      <c r="D54" s="25">
        <f t="shared" si="0"/>
        <v>1425.5383870967742</v>
      </c>
      <c r="E54" s="3">
        <f t="shared" si="1"/>
        <v>28510.767741935484</v>
      </c>
    </row>
    <row r="55" spans="1:5" x14ac:dyDescent="0.35">
      <c r="A55" t="s">
        <v>91</v>
      </c>
      <c r="B55" s="3">
        <v>50</v>
      </c>
      <c r="C55" s="3" t="s">
        <v>95</v>
      </c>
      <c r="D55" s="25">
        <f t="shared" si="0"/>
        <v>1425.5383870967742</v>
      </c>
      <c r="E55" s="3">
        <f t="shared" si="1"/>
        <v>71276.919354838712</v>
      </c>
    </row>
    <row r="56" spans="1:5" x14ac:dyDescent="0.35">
      <c r="A56" t="s">
        <v>92</v>
      </c>
      <c r="B56" s="3">
        <v>50</v>
      </c>
      <c r="C56" s="3" t="s">
        <v>96</v>
      </c>
      <c r="D56" s="25">
        <f t="shared" si="0"/>
        <v>1425.5383870967742</v>
      </c>
      <c r="E56" s="3">
        <f t="shared" si="1"/>
        <v>71276.919354838712</v>
      </c>
    </row>
    <row r="57" spans="1:5" x14ac:dyDescent="0.35">
      <c r="A57" t="s">
        <v>93</v>
      </c>
      <c r="B57" s="5">
        <v>10</v>
      </c>
      <c r="C57" s="3" t="s">
        <v>97</v>
      </c>
      <c r="D57" s="25">
        <f t="shared" si="0"/>
        <v>1425.5383870967742</v>
      </c>
      <c r="E57" s="5">
        <f t="shared" si="1"/>
        <v>14255.383870967742</v>
      </c>
    </row>
    <row r="58" spans="1:5" x14ac:dyDescent="0.35">
      <c r="B58" s="3">
        <f>SUM(B52:B57)</f>
        <v>310</v>
      </c>
      <c r="C58" s="3"/>
      <c r="E58" s="3">
        <f>SUM(E52:E57)</f>
        <v>441916.9</v>
      </c>
    </row>
    <row r="60" spans="1:5" x14ac:dyDescent="0.35">
      <c r="A60" t="s">
        <v>107</v>
      </c>
      <c r="E60" s="3">
        <f>E57+E54</f>
        <v>42766.151612903224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861-4457-45D9-94E6-18F4D49D7F6A}">
  <dimension ref="A5:AM109"/>
  <sheetViews>
    <sheetView workbookViewId="0">
      <selection sqref="A1:XFD1048576"/>
    </sheetView>
  </sheetViews>
  <sheetFormatPr defaultColWidth="9.1796875" defaultRowHeight="14.5" x14ac:dyDescent="0.35"/>
  <cols>
    <col min="1" max="1" width="18" customWidth="1"/>
    <col min="3" max="3" width="13.54296875" customWidth="1"/>
    <col min="11" max="11" width="16.453125" customWidth="1"/>
    <col min="21" max="21" width="14.7265625" customWidth="1"/>
    <col min="22" max="22" width="10.1796875" bestFit="1" customWidth="1"/>
    <col min="23" max="23" width="12.453125" bestFit="1" customWidth="1"/>
    <col min="31" max="31" width="16.81640625" bestFit="1" customWidth="1"/>
    <col min="32" max="32" width="10.1796875" bestFit="1" customWidth="1"/>
    <col min="33" max="33" width="13.453125" bestFit="1" customWidth="1"/>
    <col min="37" max="37" width="11" customWidth="1"/>
  </cols>
  <sheetData>
    <row r="5" spans="1:39" x14ac:dyDescent="0.35">
      <c r="A5" s="4"/>
      <c r="K5" s="4"/>
      <c r="U5" s="4"/>
      <c r="AE5" s="4"/>
    </row>
    <row r="7" spans="1:39" x14ac:dyDescent="0.35">
      <c r="A7" s="30"/>
      <c r="B7" s="4"/>
      <c r="C7" s="4"/>
      <c r="D7" s="4"/>
      <c r="E7" s="4"/>
      <c r="F7" s="4"/>
      <c r="G7" s="4"/>
      <c r="H7" s="4"/>
      <c r="I7" s="4"/>
      <c r="K7" s="30"/>
      <c r="L7" s="4"/>
      <c r="M7" s="4"/>
      <c r="N7" s="4"/>
      <c r="O7" s="4"/>
      <c r="P7" s="4"/>
      <c r="Q7" s="4"/>
      <c r="R7" s="4"/>
      <c r="S7" s="4"/>
      <c r="U7" s="30"/>
      <c r="V7" s="4"/>
      <c r="W7" s="4"/>
      <c r="X7" s="4"/>
      <c r="Y7" s="4"/>
      <c r="Z7" s="4"/>
      <c r="AA7" s="4"/>
      <c r="AB7" s="4"/>
      <c r="AC7" s="4"/>
      <c r="AE7" s="30"/>
      <c r="AF7" s="4"/>
      <c r="AG7" s="4"/>
      <c r="AH7" s="4"/>
      <c r="AI7" s="4"/>
      <c r="AJ7" s="4"/>
      <c r="AK7" s="4"/>
      <c r="AL7" s="4"/>
      <c r="AM7" s="4"/>
    </row>
    <row r="8" spans="1:39" x14ac:dyDescent="0.35">
      <c r="A8" s="4"/>
      <c r="B8" s="4"/>
      <c r="C8" s="4"/>
      <c r="D8" s="4"/>
      <c r="E8" s="4"/>
      <c r="F8" s="4"/>
      <c r="G8" s="4"/>
      <c r="H8" s="4"/>
      <c r="I8" s="4"/>
      <c r="K8" s="4"/>
      <c r="L8" s="4"/>
      <c r="M8" s="4"/>
      <c r="N8" s="4"/>
      <c r="O8" s="4"/>
      <c r="P8" s="4"/>
      <c r="Q8" s="4"/>
      <c r="R8" s="4"/>
      <c r="S8" s="4"/>
      <c r="U8" s="4"/>
      <c r="V8" s="4"/>
      <c r="W8" s="4"/>
      <c r="X8" s="4"/>
      <c r="Y8" s="4"/>
      <c r="Z8" s="4"/>
      <c r="AA8" s="4"/>
      <c r="AB8" s="4"/>
      <c r="AC8" s="4"/>
      <c r="AE8" s="4"/>
      <c r="AF8" s="4"/>
      <c r="AG8" s="4"/>
      <c r="AH8" s="4"/>
      <c r="AI8" s="4"/>
      <c r="AJ8" s="4"/>
      <c r="AK8" s="4"/>
      <c r="AL8" s="4"/>
      <c r="AM8" s="4"/>
    </row>
    <row r="9" spans="1:39" x14ac:dyDescent="0.35">
      <c r="B9" s="25"/>
      <c r="C9" s="25"/>
      <c r="D9" s="25"/>
      <c r="E9" s="25"/>
      <c r="F9" s="25"/>
      <c r="G9" s="25"/>
      <c r="H9" s="25"/>
      <c r="I9" s="25"/>
      <c r="L9" s="25"/>
      <c r="M9" s="25"/>
      <c r="N9" s="25"/>
      <c r="O9" s="25"/>
      <c r="P9" s="25"/>
      <c r="Q9" s="25"/>
      <c r="R9" s="25"/>
      <c r="S9" s="25"/>
      <c r="V9" s="25"/>
      <c r="W9" s="25"/>
      <c r="X9" s="25"/>
      <c r="Y9" s="25"/>
      <c r="Z9" s="25"/>
      <c r="AA9" s="25"/>
      <c r="AB9" s="25"/>
      <c r="AC9" s="25"/>
      <c r="AF9" s="25"/>
      <c r="AG9" s="25"/>
      <c r="AH9" s="25"/>
      <c r="AI9" s="25"/>
      <c r="AJ9" s="25"/>
      <c r="AK9" s="25"/>
      <c r="AL9" s="25"/>
      <c r="AM9" s="25"/>
    </row>
    <row r="10" spans="1:39" x14ac:dyDescent="0.35">
      <c r="B10" s="25"/>
      <c r="C10" s="25"/>
      <c r="D10" s="25"/>
      <c r="E10" s="25"/>
      <c r="F10" s="25"/>
      <c r="G10" s="25"/>
      <c r="H10" s="25"/>
      <c r="I10" s="25"/>
      <c r="L10" s="25"/>
      <c r="M10" s="25"/>
      <c r="N10" s="25"/>
      <c r="O10" s="25"/>
      <c r="P10" s="25"/>
      <c r="Q10" s="25"/>
      <c r="R10" s="25"/>
      <c r="S10" s="25"/>
      <c r="V10" s="25"/>
      <c r="W10" s="25"/>
      <c r="X10" s="25"/>
      <c r="Y10" s="25"/>
      <c r="Z10" s="25"/>
      <c r="AA10" s="25"/>
      <c r="AB10" s="25"/>
      <c r="AC10" s="25"/>
      <c r="AF10" s="25"/>
      <c r="AG10" s="25"/>
      <c r="AH10" s="25"/>
      <c r="AI10" s="25"/>
      <c r="AJ10" s="25"/>
      <c r="AK10" s="25"/>
      <c r="AL10" s="25"/>
      <c r="AM10" s="25"/>
    </row>
    <row r="11" spans="1:39" x14ac:dyDescent="0.35">
      <c r="B11" s="25"/>
      <c r="C11" s="25"/>
      <c r="D11" s="25"/>
      <c r="E11" s="25"/>
      <c r="F11" s="25"/>
      <c r="G11" s="25"/>
      <c r="H11" s="25"/>
      <c r="I11" s="25"/>
      <c r="L11" s="25"/>
      <c r="M11" s="25"/>
      <c r="N11" s="25"/>
      <c r="O11" s="25"/>
      <c r="P11" s="25"/>
      <c r="Q11" s="25"/>
      <c r="R11" s="25"/>
      <c r="S11" s="25"/>
      <c r="V11" s="25"/>
      <c r="W11" s="25"/>
      <c r="X11" s="25"/>
      <c r="Y11" s="25"/>
      <c r="Z11" s="25"/>
      <c r="AA11" s="25"/>
      <c r="AB11" s="25"/>
      <c r="AC11" s="25"/>
      <c r="AF11" s="25"/>
      <c r="AG11" s="25"/>
      <c r="AH11" s="25"/>
      <c r="AI11" s="25"/>
      <c r="AJ11" s="25"/>
      <c r="AK11" s="25"/>
      <c r="AL11" s="25"/>
      <c r="AM11" s="25"/>
    </row>
    <row r="12" spans="1:39" x14ac:dyDescent="0.35">
      <c r="B12" s="25"/>
      <c r="C12" s="25"/>
      <c r="D12" s="25"/>
      <c r="E12" s="25"/>
      <c r="F12" s="25"/>
      <c r="G12" s="25"/>
      <c r="H12" s="25"/>
      <c r="I12" s="25"/>
      <c r="L12" s="25"/>
      <c r="M12" s="25"/>
      <c r="N12" s="25"/>
      <c r="O12" s="25"/>
      <c r="P12" s="25"/>
      <c r="Q12" s="25"/>
      <c r="R12" s="25"/>
      <c r="S12" s="25"/>
      <c r="V12" s="25"/>
      <c r="W12" s="25"/>
      <c r="X12" s="25"/>
      <c r="Y12" s="25"/>
      <c r="Z12" s="25"/>
      <c r="AA12" s="25"/>
      <c r="AB12" s="25"/>
      <c r="AC12" s="25"/>
      <c r="AF12" s="25"/>
      <c r="AG12" s="25"/>
      <c r="AH12" s="25"/>
      <c r="AI12" s="25"/>
      <c r="AJ12" s="25"/>
      <c r="AK12" s="25"/>
      <c r="AL12" s="25"/>
      <c r="AM12" s="25"/>
    </row>
    <row r="13" spans="1:39" x14ac:dyDescent="0.35">
      <c r="B13" s="25"/>
      <c r="C13" s="25"/>
      <c r="D13" s="25"/>
      <c r="E13" s="25"/>
      <c r="F13" s="25"/>
      <c r="G13" s="25"/>
      <c r="H13" s="25"/>
      <c r="I13" s="25"/>
      <c r="L13" s="25"/>
      <c r="M13" s="25"/>
      <c r="N13" s="25"/>
      <c r="O13" s="25"/>
      <c r="P13" s="25"/>
      <c r="Q13" s="25"/>
      <c r="R13" s="25"/>
      <c r="S13" s="25"/>
      <c r="V13" s="25"/>
      <c r="W13" s="25"/>
      <c r="X13" s="25"/>
      <c r="Y13" s="25"/>
      <c r="Z13" s="25"/>
      <c r="AA13" s="25"/>
      <c r="AB13" s="25"/>
      <c r="AC13" s="25"/>
      <c r="AF13" s="25"/>
      <c r="AG13" s="25"/>
      <c r="AH13" s="25"/>
      <c r="AI13" s="25"/>
      <c r="AJ13" s="25"/>
      <c r="AK13" s="25"/>
      <c r="AL13" s="25"/>
      <c r="AM13" s="25"/>
    </row>
    <row r="14" spans="1:39" x14ac:dyDescent="0.35">
      <c r="B14" s="25"/>
      <c r="C14" s="25"/>
      <c r="D14" s="25"/>
      <c r="E14" s="25"/>
      <c r="F14" s="25"/>
      <c r="G14" s="25"/>
      <c r="H14" s="25"/>
      <c r="I14" s="25"/>
      <c r="L14" s="25"/>
      <c r="M14" s="25"/>
      <c r="N14" s="25"/>
      <c r="O14" s="25"/>
      <c r="P14" s="25"/>
      <c r="Q14" s="25"/>
      <c r="R14" s="25"/>
      <c r="S14" s="25"/>
      <c r="V14" s="25"/>
      <c r="W14" s="25"/>
      <c r="X14" s="25"/>
      <c r="Y14" s="25"/>
      <c r="Z14" s="25"/>
      <c r="AA14" s="25"/>
      <c r="AB14" s="25"/>
      <c r="AC14" s="25"/>
      <c r="AF14" s="25"/>
      <c r="AG14" s="25"/>
      <c r="AH14" s="25"/>
      <c r="AI14" s="25"/>
      <c r="AJ14" s="25"/>
      <c r="AK14" s="25"/>
      <c r="AL14" s="25"/>
      <c r="AM14" s="25"/>
    </row>
    <row r="15" spans="1:39" x14ac:dyDescent="0.35">
      <c r="A15" s="30"/>
      <c r="B15" s="4"/>
      <c r="C15" s="4"/>
      <c r="D15" s="4"/>
      <c r="E15" s="4"/>
      <c r="F15" s="4"/>
      <c r="G15" s="4"/>
      <c r="H15" s="4"/>
      <c r="I15" s="4"/>
      <c r="K15" s="30"/>
      <c r="L15" s="4"/>
      <c r="M15" s="4"/>
      <c r="N15" s="4"/>
      <c r="O15" s="4"/>
      <c r="P15" s="4"/>
      <c r="Q15" s="4"/>
      <c r="R15" s="4"/>
      <c r="S15" s="4"/>
      <c r="U15" s="30"/>
      <c r="V15" s="4"/>
      <c r="W15" s="4"/>
      <c r="X15" s="4"/>
      <c r="Y15" s="4"/>
      <c r="Z15" s="4"/>
      <c r="AA15" s="4"/>
      <c r="AB15" s="4"/>
      <c r="AC15" s="4"/>
      <c r="AE15" s="30"/>
      <c r="AF15" s="4"/>
      <c r="AG15" s="4"/>
      <c r="AH15" s="4"/>
      <c r="AI15" s="4"/>
      <c r="AJ15" s="4"/>
      <c r="AK15" s="4"/>
      <c r="AL15" s="4"/>
      <c r="AM15" s="4"/>
    </row>
    <row r="16" spans="1:39" x14ac:dyDescent="0.35">
      <c r="A16" s="4"/>
      <c r="B16" s="4"/>
      <c r="C16" s="4"/>
      <c r="D16" s="4"/>
      <c r="E16" s="4"/>
      <c r="F16" s="4"/>
      <c r="G16" s="4"/>
      <c r="H16" s="4"/>
      <c r="I16" s="4"/>
      <c r="K16" s="4"/>
      <c r="L16" s="4"/>
      <c r="M16" s="4"/>
      <c r="N16" s="4"/>
      <c r="O16" s="4"/>
      <c r="P16" s="4"/>
      <c r="Q16" s="4"/>
      <c r="R16" s="4"/>
      <c r="S16" s="4"/>
      <c r="U16" s="4"/>
      <c r="V16" s="4"/>
      <c r="W16" s="4"/>
      <c r="X16" s="4"/>
      <c r="Y16" s="4"/>
      <c r="Z16" s="4"/>
      <c r="AA16" s="4"/>
      <c r="AB16" s="4"/>
      <c r="AC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x14ac:dyDescent="0.35">
      <c r="B17" s="25"/>
      <c r="C17" s="25"/>
      <c r="D17" s="25"/>
      <c r="E17" s="25"/>
      <c r="F17" s="25"/>
      <c r="G17" s="25"/>
      <c r="H17" s="25"/>
      <c r="I17" s="25"/>
      <c r="L17" s="25"/>
      <c r="M17" s="25"/>
      <c r="N17" s="25"/>
      <c r="O17" s="25"/>
      <c r="P17" s="25"/>
      <c r="Q17" s="25"/>
      <c r="R17" s="25"/>
      <c r="S17" s="25"/>
      <c r="V17" s="25"/>
      <c r="W17" s="25"/>
      <c r="X17" s="25"/>
      <c r="Y17" s="25"/>
      <c r="Z17" s="25"/>
      <c r="AA17" s="25"/>
      <c r="AB17" s="25"/>
      <c r="AC17" s="25"/>
      <c r="AF17" s="25"/>
      <c r="AG17" s="25"/>
      <c r="AH17" s="25"/>
      <c r="AI17" s="25"/>
      <c r="AJ17" s="25"/>
      <c r="AK17" s="25"/>
      <c r="AL17" s="25"/>
      <c r="AM17" s="25"/>
    </row>
    <row r="18" spans="1:39" x14ac:dyDescent="0.35">
      <c r="B18" s="25"/>
      <c r="C18" s="25"/>
      <c r="D18" s="25"/>
      <c r="E18" s="25"/>
      <c r="F18" s="25"/>
      <c r="G18" s="25"/>
      <c r="H18" s="25"/>
      <c r="I18" s="25"/>
      <c r="L18" s="25"/>
      <c r="M18" s="25"/>
      <c r="N18" s="25"/>
      <c r="O18" s="25"/>
      <c r="P18" s="25"/>
      <c r="Q18" s="25"/>
      <c r="R18" s="25"/>
      <c r="S18" s="25"/>
      <c r="V18" s="25"/>
      <c r="W18" s="25"/>
      <c r="X18" s="25"/>
      <c r="Y18" s="25"/>
      <c r="Z18" s="25"/>
      <c r="AA18" s="25"/>
      <c r="AB18" s="25"/>
      <c r="AC18" s="25"/>
      <c r="AF18" s="25"/>
      <c r="AG18" s="25"/>
      <c r="AH18" s="25"/>
      <c r="AI18" s="25"/>
      <c r="AJ18" s="25"/>
      <c r="AK18" s="25"/>
      <c r="AL18" s="25"/>
      <c r="AM18" s="25"/>
    </row>
    <row r="19" spans="1:39" x14ac:dyDescent="0.35">
      <c r="B19" s="25"/>
      <c r="C19" s="25"/>
      <c r="D19" s="25"/>
      <c r="E19" s="25"/>
      <c r="F19" s="25"/>
      <c r="G19" s="25"/>
      <c r="H19" s="25"/>
      <c r="I19" s="25"/>
      <c r="L19" s="25"/>
      <c r="M19" s="25"/>
      <c r="N19" s="25"/>
      <c r="O19" s="25"/>
      <c r="P19" s="25"/>
      <c r="Q19" s="25"/>
      <c r="R19" s="25"/>
      <c r="S19" s="25"/>
      <c r="V19" s="25"/>
      <c r="W19" s="25"/>
      <c r="X19" s="25"/>
      <c r="Y19" s="25"/>
      <c r="Z19" s="25"/>
      <c r="AA19" s="25"/>
      <c r="AB19" s="25"/>
      <c r="AC19" s="25"/>
      <c r="AF19" s="25"/>
      <c r="AG19" s="25"/>
      <c r="AH19" s="25"/>
      <c r="AI19" s="25"/>
      <c r="AJ19" s="25"/>
      <c r="AK19" s="25"/>
      <c r="AL19" s="25"/>
      <c r="AM19" s="25"/>
    </row>
    <row r="20" spans="1:39" x14ac:dyDescent="0.35">
      <c r="B20" s="25"/>
      <c r="C20" s="25"/>
      <c r="D20" s="25"/>
      <c r="E20" s="25"/>
      <c r="F20" s="25"/>
      <c r="G20" s="25"/>
      <c r="H20" s="25"/>
      <c r="I20" s="25"/>
      <c r="L20" s="25"/>
      <c r="M20" s="25"/>
      <c r="N20" s="25"/>
      <c r="O20" s="25"/>
      <c r="P20" s="25"/>
      <c r="Q20" s="25"/>
      <c r="R20" s="25"/>
      <c r="S20" s="25"/>
      <c r="V20" s="25"/>
      <c r="W20" s="25"/>
      <c r="X20" s="25"/>
      <c r="Y20" s="25"/>
      <c r="Z20" s="25"/>
      <c r="AA20" s="25"/>
      <c r="AB20" s="25"/>
      <c r="AC20" s="25"/>
      <c r="AF20" s="25"/>
      <c r="AG20" s="25"/>
      <c r="AH20" s="25"/>
      <c r="AI20" s="25"/>
      <c r="AJ20" s="25"/>
      <c r="AK20" s="25"/>
      <c r="AL20" s="25"/>
      <c r="AM20" s="25"/>
    </row>
    <row r="21" spans="1:39" x14ac:dyDescent="0.35">
      <c r="B21" s="25"/>
      <c r="C21" s="25"/>
      <c r="D21" s="25"/>
      <c r="E21" s="25"/>
      <c r="F21" s="25"/>
      <c r="G21" s="25"/>
      <c r="H21" s="25"/>
      <c r="I21" s="25"/>
      <c r="L21" s="25"/>
      <c r="M21" s="25"/>
      <c r="N21" s="25"/>
      <c r="O21" s="25"/>
      <c r="P21" s="25"/>
      <c r="Q21" s="25"/>
      <c r="R21" s="25"/>
      <c r="S21" s="25"/>
      <c r="V21" s="25"/>
      <c r="W21" s="25"/>
      <c r="X21" s="25"/>
      <c r="Y21" s="25"/>
      <c r="Z21" s="25"/>
      <c r="AA21" s="25"/>
      <c r="AB21" s="25"/>
      <c r="AC21" s="25"/>
      <c r="AF21" s="25"/>
      <c r="AG21" s="25"/>
      <c r="AH21" s="25"/>
      <c r="AI21" s="25"/>
      <c r="AJ21" s="25"/>
      <c r="AK21" s="25"/>
      <c r="AL21" s="25"/>
      <c r="AM21" s="25"/>
    </row>
    <row r="23" spans="1:39" x14ac:dyDescent="0.35">
      <c r="A23" s="30"/>
      <c r="B23" s="4"/>
      <c r="C23" s="4"/>
      <c r="D23" s="4"/>
      <c r="E23" s="4"/>
      <c r="F23" s="4"/>
      <c r="G23" s="4"/>
      <c r="H23" s="4"/>
      <c r="I23" s="4"/>
      <c r="K23" s="30"/>
      <c r="L23" s="4"/>
      <c r="M23" s="4"/>
      <c r="N23" s="4"/>
      <c r="O23" s="4"/>
      <c r="P23" s="4"/>
      <c r="Q23" s="4"/>
      <c r="R23" s="4"/>
      <c r="S23" s="4"/>
      <c r="U23" s="30"/>
      <c r="V23" s="4"/>
      <c r="W23" s="4"/>
      <c r="X23" s="4"/>
      <c r="Y23" s="4"/>
      <c r="Z23" s="4"/>
      <c r="AA23" s="4"/>
      <c r="AB23" s="4"/>
      <c r="AC23" s="4"/>
      <c r="AE23" s="30"/>
      <c r="AF23" s="4"/>
      <c r="AG23" s="4"/>
      <c r="AH23" s="4"/>
      <c r="AI23" s="4"/>
      <c r="AJ23" s="4"/>
      <c r="AK23" s="4"/>
      <c r="AL23" s="4"/>
      <c r="AM23" s="4"/>
    </row>
    <row r="24" spans="1:39" x14ac:dyDescent="0.35">
      <c r="A24" s="4"/>
      <c r="B24" s="4"/>
      <c r="C24" s="4"/>
      <c r="D24" s="4"/>
      <c r="E24" s="4"/>
      <c r="F24" s="4"/>
      <c r="G24" s="4"/>
      <c r="H24" s="4"/>
      <c r="I24" s="4"/>
      <c r="K24" s="4"/>
      <c r="L24" s="4"/>
      <c r="M24" s="4"/>
      <c r="N24" s="4"/>
      <c r="O24" s="4"/>
      <c r="P24" s="4"/>
      <c r="Q24" s="4"/>
      <c r="R24" s="4"/>
      <c r="S24" s="4"/>
      <c r="U24" s="4"/>
      <c r="V24" s="4"/>
      <c r="W24" s="4"/>
      <c r="X24" s="4"/>
      <c r="Y24" s="4"/>
      <c r="Z24" s="4"/>
      <c r="AA24" s="4"/>
      <c r="AB24" s="4"/>
      <c r="AC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x14ac:dyDescent="0.35">
      <c r="B25" s="25"/>
      <c r="C25" s="25"/>
      <c r="D25" s="25"/>
      <c r="E25" s="25"/>
      <c r="F25" s="25"/>
      <c r="G25" s="25"/>
      <c r="H25" s="25"/>
      <c r="I25" s="25"/>
      <c r="L25" s="25"/>
      <c r="M25" s="25"/>
      <c r="N25" s="25"/>
      <c r="O25" s="25"/>
      <c r="P25" s="25"/>
      <c r="Q25" s="25"/>
      <c r="R25" s="25"/>
      <c r="S25" s="25"/>
      <c r="V25" s="25"/>
      <c r="W25" s="25"/>
      <c r="X25" s="25"/>
      <c r="Y25" s="25"/>
      <c r="Z25" s="25"/>
      <c r="AA25" s="25"/>
      <c r="AB25" s="25"/>
      <c r="AC25" s="25"/>
      <c r="AF25" s="25"/>
      <c r="AG25" s="25"/>
      <c r="AH25" s="25"/>
      <c r="AI25" s="25"/>
      <c r="AJ25" s="25"/>
      <c r="AK25" s="25"/>
      <c r="AL25" s="25"/>
      <c r="AM25" s="25"/>
    </row>
    <row r="26" spans="1:39" x14ac:dyDescent="0.35">
      <c r="B26" s="25"/>
      <c r="C26" s="25"/>
      <c r="D26" s="25"/>
      <c r="E26" s="25"/>
      <c r="F26" s="25"/>
      <c r="G26" s="25"/>
      <c r="H26" s="25"/>
      <c r="I26" s="25"/>
      <c r="L26" s="25"/>
      <c r="M26" s="25"/>
      <c r="N26" s="25"/>
      <c r="O26" s="25"/>
      <c r="P26" s="25"/>
      <c r="Q26" s="25"/>
      <c r="R26" s="25"/>
      <c r="S26" s="25"/>
      <c r="V26" s="25"/>
      <c r="W26" s="25"/>
      <c r="X26" s="25"/>
      <c r="Y26" s="25"/>
      <c r="Z26" s="25"/>
      <c r="AA26" s="25"/>
      <c r="AB26" s="25"/>
      <c r="AC26" s="25"/>
      <c r="AF26" s="25"/>
      <c r="AG26" s="25"/>
      <c r="AH26" s="25"/>
      <c r="AI26" s="25"/>
      <c r="AJ26" s="25"/>
      <c r="AK26" s="25"/>
      <c r="AL26" s="25"/>
      <c r="AM26" s="25"/>
    </row>
    <row r="27" spans="1:39" x14ac:dyDescent="0.35">
      <c r="B27" s="25"/>
      <c r="C27" s="25"/>
      <c r="D27" s="25"/>
      <c r="E27" s="25"/>
      <c r="F27" s="25"/>
      <c r="G27" s="25"/>
      <c r="H27" s="25"/>
      <c r="I27" s="25"/>
      <c r="L27" s="25"/>
      <c r="M27" s="25"/>
      <c r="N27" s="25"/>
      <c r="O27" s="25"/>
      <c r="P27" s="25"/>
      <c r="Q27" s="25"/>
      <c r="R27" s="25"/>
      <c r="S27" s="25"/>
      <c r="V27" s="25"/>
      <c r="W27" s="25"/>
      <c r="X27" s="25"/>
      <c r="Y27" s="25"/>
      <c r="Z27" s="25"/>
      <c r="AA27" s="25"/>
      <c r="AB27" s="25"/>
      <c r="AC27" s="25"/>
      <c r="AF27" s="25"/>
      <c r="AG27" s="25"/>
      <c r="AH27" s="25"/>
      <c r="AI27" s="25"/>
      <c r="AJ27" s="25"/>
      <c r="AK27" s="25"/>
      <c r="AL27" s="25"/>
      <c r="AM27" s="25"/>
    </row>
    <row r="28" spans="1:39" x14ac:dyDescent="0.35">
      <c r="B28" s="25"/>
      <c r="C28" s="25"/>
      <c r="D28" s="25"/>
      <c r="E28" s="25"/>
      <c r="F28" s="25"/>
      <c r="G28" s="25"/>
      <c r="H28" s="25"/>
      <c r="I28" s="25"/>
      <c r="L28" s="25"/>
      <c r="M28" s="25"/>
      <c r="N28" s="25"/>
      <c r="O28" s="25"/>
      <c r="P28" s="25"/>
      <c r="Q28" s="25"/>
      <c r="R28" s="25"/>
      <c r="S28" s="25"/>
      <c r="V28" s="25"/>
      <c r="W28" s="25"/>
      <c r="X28" s="25"/>
      <c r="Y28" s="25"/>
      <c r="Z28" s="25"/>
      <c r="AA28" s="25"/>
      <c r="AB28" s="25"/>
      <c r="AC28" s="25"/>
      <c r="AF28" s="25"/>
      <c r="AG28" s="25"/>
      <c r="AH28" s="25"/>
      <c r="AI28" s="25"/>
      <c r="AJ28" s="25"/>
      <c r="AK28" s="25"/>
      <c r="AL28" s="25"/>
      <c r="AM28" s="25"/>
    </row>
    <row r="29" spans="1:39" x14ac:dyDescent="0.35">
      <c r="B29" s="25"/>
      <c r="C29" s="25"/>
      <c r="D29" s="25"/>
      <c r="E29" s="25"/>
      <c r="F29" s="25"/>
      <c r="G29" s="25"/>
      <c r="H29" s="25"/>
      <c r="I29" s="25"/>
      <c r="L29" s="25"/>
      <c r="M29" s="25"/>
      <c r="N29" s="25"/>
      <c r="O29" s="25"/>
      <c r="P29" s="25"/>
      <c r="Q29" s="25"/>
      <c r="R29" s="25"/>
      <c r="S29" s="25"/>
      <c r="V29" s="25"/>
      <c r="W29" s="25"/>
      <c r="X29" s="25"/>
      <c r="Y29" s="25"/>
      <c r="Z29" s="25"/>
      <c r="AA29" s="25"/>
      <c r="AB29" s="25"/>
      <c r="AC29" s="25"/>
      <c r="AF29" s="25"/>
      <c r="AG29" s="25"/>
      <c r="AH29" s="25"/>
      <c r="AI29" s="25"/>
      <c r="AJ29" s="25"/>
      <c r="AK29" s="25"/>
      <c r="AL29" s="25"/>
      <c r="AM29" s="25"/>
    </row>
    <row r="31" spans="1:39" x14ac:dyDescent="0.35">
      <c r="A31" s="30"/>
      <c r="B31" s="4"/>
      <c r="C31" s="4"/>
      <c r="D31" s="4"/>
      <c r="E31" s="4"/>
      <c r="F31" s="4"/>
      <c r="G31" s="4"/>
      <c r="H31" s="4"/>
      <c r="I31" s="4"/>
      <c r="K31" s="30"/>
      <c r="L31" s="4"/>
      <c r="M31" s="4"/>
      <c r="N31" s="4"/>
      <c r="O31" s="4"/>
      <c r="P31" s="4"/>
      <c r="Q31" s="4"/>
      <c r="R31" s="4"/>
      <c r="S31" s="4"/>
      <c r="U31" s="30"/>
      <c r="V31" s="4"/>
      <c r="W31" s="4"/>
      <c r="X31" s="4"/>
      <c r="Y31" s="4"/>
      <c r="Z31" s="4"/>
      <c r="AA31" s="4"/>
      <c r="AB31" s="4"/>
      <c r="AC31" s="4"/>
      <c r="AE31" s="30"/>
      <c r="AF31" s="4"/>
      <c r="AG31" s="4"/>
      <c r="AH31" s="4"/>
      <c r="AI31" s="4"/>
      <c r="AJ31" s="4"/>
      <c r="AK31" s="4"/>
      <c r="AL31" s="4"/>
      <c r="AM31" s="4"/>
    </row>
    <row r="32" spans="1:39" x14ac:dyDescent="0.35">
      <c r="A32" s="4"/>
      <c r="B32" s="4"/>
      <c r="C32" s="4"/>
      <c r="D32" s="4"/>
      <c r="E32" s="4"/>
      <c r="F32" s="4"/>
      <c r="G32" s="4"/>
      <c r="H32" s="4"/>
      <c r="I32" s="4"/>
      <c r="K32" s="4"/>
      <c r="L32" s="4"/>
      <c r="M32" s="4"/>
      <c r="N32" s="4"/>
      <c r="O32" s="4"/>
      <c r="P32" s="4"/>
      <c r="Q32" s="4"/>
      <c r="R32" s="4"/>
      <c r="S32" s="4"/>
      <c r="U32" s="4"/>
      <c r="V32" s="4"/>
      <c r="W32" s="4"/>
      <c r="X32" s="4"/>
      <c r="Y32" s="4"/>
      <c r="Z32" s="4"/>
      <c r="AA32" s="4"/>
      <c r="AB32" s="4"/>
      <c r="AC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x14ac:dyDescent="0.35">
      <c r="B33" s="25"/>
      <c r="C33" s="25"/>
      <c r="D33" s="25"/>
      <c r="E33" s="25"/>
      <c r="F33" s="25"/>
      <c r="G33" s="25"/>
      <c r="H33" s="25"/>
      <c r="I33" s="25"/>
      <c r="L33" s="25"/>
      <c r="M33" s="25"/>
      <c r="N33" s="25"/>
      <c r="O33" s="25"/>
      <c r="P33" s="25"/>
      <c r="Q33" s="25"/>
      <c r="R33" s="25"/>
      <c r="S33" s="25"/>
      <c r="V33" s="25"/>
      <c r="W33" s="25"/>
      <c r="X33" s="25"/>
      <c r="Y33" s="25"/>
      <c r="Z33" s="25"/>
      <c r="AA33" s="25"/>
      <c r="AB33" s="25"/>
      <c r="AC33" s="25"/>
      <c r="AF33" s="25"/>
      <c r="AG33" s="25"/>
      <c r="AH33" s="25"/>
      <c r="AI33" s="25"/>
      <c r="AJ33" s="25"/>
      <c r="AK33" s="25"/>
      <c r="AL33" s="25"/>
      <c r="AM33" s="25"/>
    </row>
    <row r="34" spans="1:39" x14ac:dyDescent="0.35">
      <c r="B34" s="25"/>
      <c r="C34" s="25"/>
      <c r="D34" s="25"/>
      <c r="E34" s="25"/>
      <c r="F34" s="25"/>
      <c r="G34" s="25"/>
      <c r="H34" s="25"/>
      <c r="I34" s="25"/>
      <c r="L34" s="25"/>
      <c r="M34" s="25"/>
      <c r="N34" s="25"/>
      <c r="O34" s="25"/>
      <c r="P34" s="25"/>
      <c r="Q34" s="25"/>
      <c r="R34" s="25"/>
      <c r="S34" s="25"/>
      <c r="V34" s="25"/>
      <c r="W34" s="25"/>
      <c r="X34" s="25"/>
      <c r="Y34" s="25"/>
      <c r="Z34" s="25"/>
      <c r="AA34" s="25"/>
      <c r="AB34" s="25"/>
      <c r="AC34" s="25"/>
      <c r="AF34" s="25"/>
      <c r="AG34" s="25"/>
      <c r="AH34" s="25"/>
      <c r="AI34" s="25"/>
      <c r="AJ34" s="25"/>
      <c r="AK34" s="25"/>
      <c r="AL34" s="25"/>
      <c r="AM34" s="25"/>
    </row>
    <row r="35" spans="1:39" x14ac:dyDescent="0.35">
      <c r="B35" s="25"/>
      <c r="C35" s="25"/>
      <c r="D35" s="25"/>
      <c r="E35" s="25"/>
      <c r="F35" s="25"/>
      <c r="G35" s="25"/>
      <c r="H35" s="25"/>
      <c r="I35" s="25"/>
      <c r="L35" s="25"/>
      <c r="M35" s="25"/>
      <c r="N35" s="25"/>
      <c r="O35" s="25"/>
      <c r="P35" s="25"/>
      <c r="Q35" s="25"/>
      <c r="R35" s="25"/>
      <c r="S35" s="25"/>
      <c r="V35" s="25"/>
      <c r="W35" s="25"/>
      <c r="X35" s="25"/>
      <c r="Y35" s="25"/>
      <c r="Z35" s="25"/>
      <c r="AA35" s="25"/>
      <c r="AB35" s="25"/>
      <c r="AC35" s="25"/>
      <c r="AF35" s="25"/>
      <c r="AG35" s="25"/>
      <c r="AH35" s="25"/>
      <c r="AI35" s="25"/>
      <c r="AJ35" s="25"/>
      <c r="AK35" s="25"/>
      <c r="AL35" s="25"/>
      <c r="AM35" s="25"/>
    </row>
    <row r="36" spans="1:39" x14ac:dyDescent="0.35">
      <c r="B36" s="25"/>
      <c r="C36" s="25"/>
      <c r="D36" s="25"/>
      <c r="E36" s="25"/>
      <c r="F36" s="25"/>
      <c r="G36" s="25"/>
      <c r="H36" s="25"/>
      <c r="I36" s="25"/>
      <c r="L36" s="25"/>
      <c r="M36" s="25"/>
      <c r="N36" s="25"/>
      <c r="O36" s="25"/>
      <c r="P36" s="25"/>
      <c r="Q36" s="25"/>
      <c r="R36" s="25"/>
      <c r="S36" s="25"/>
      <c r="V36" s="25"/>
      <c r="W36" s="25"/>
      <c r="X36" s="25"/>
      <c r="Y36" s="25"/>
      <c r="Z36" s="25"/>
      <c r="AA36" s="25"/>
      <c r="AB36" s="25"/>
      <c r="AC36" s="25"/>
      <c r="AF36" s="25"/>
      <c r="AG36" s="25"/>
      <c r="AH36" s="25"/>
      <c r="AI36" s="25"/>
      <c r="AJ36" s="25"/>
      <c r="AK36" s="25"/>
      <c r="AL36" s="25"/>
      <c r="AM36" s="25"/>
    </row>
    <row r="37" spans="1:39" x14ac:dyDescent="0.35">
      <c r="B37" s="25"/>
      <c r="C37" s="25"/>
      <c r="D37" s="25"/>
      <c r="E37" s="25"/>
      <c r="F37" s="25"/>
      <c r="G37" s="25"/>
      <c r="H37" s="25"/>
      <c r="I37" s="25"/>
      <c r="L37" s="25"/>
      <c r="M37" s="25"/>
      <c r="N37" s="25"/>
      <c r="O37" s="25"/>
      <c r="P37" s="25"/>
      <c r="Q37" s="25"/>
      <c r="R37" s="25"/>
      <c r="S37" s="25"/>
      <c r="V37" s="25"/>
      <c r="W37" s="25"/>
      <c r="X37" s="25"/>
      <c r="Y37" s="25"/>
      <c r="Z37" s="25"/>
      <c r="AA37" s="25"/>
      <c r="AB37" s="25"/>
      <c r="AC37" s="25"/>
      <c r="AF37" s="25"/>
      <c r="AG37" s="25"/>
      <c r="AH37" s="25"/>
      <c r="AI37" s="25"/>
      <c r="AJ37" s="25"/>
      <c r="AK37" s="25"/>
      <c r="AL37" s="25"/>
      <c r="AM37" s="25"/>
    </row>
    <row r="39" spans="1:39" x14ac:dyDescent="0.35">
      <c r="A39" s="30"/>
      <c r="B39" s="4"/>
      <c r="C39" s="4"/>
      <c r="D39" s="4"/>
      <c r="E39" s="4"/>
      <c r="F39" s="4"/>
      <c r="G39" s="4"/>
      <c r="H39" s="4"/>
      <c r="I39" s="4"/>
      <c r="K39" s="30"/>
      <c r="L39" s="4"/>
      <c r="M39" s="4"/>
      <c r="N39" s="4"/>
      <c r="O39" s="4"/>
      <c r="P39" s="4"/>
      <c r="Q39" s="4"/>
      <c r="R39" s="4"/>
      <c r="S39" s="4"/>
      <c r="U39" s="30"/>
      <c r="V39" s="4"/>
      <c r="W39" s="4"/>
      <c r="X39" s="4"/>
      <c r="Y39" s="4"/>
      <c r="Z39" s="4"/>
      <c r="AA39" s="4"/>
      <c r="AB39" s="4"/>
      <c r="AC39" s="4"/>
      <c r="AE39" s="30"/>
      <c r="AF39" s="4"/>
      <c r="AG39" s="4"/>
      <c r="AH39" s="4"/>
      <c r="AI39" s="4"/>
      <c r="AJ39" s="4"/>
      <c r="AK39" s="4"/>
      <c r="AL39" s="4"/>
      <c r="AM39" s="4"/>
    </row>
    <row r="40" spans="1:39" x14ac:dyDescent="0.35">
      <c r="A40" s="4"/>
      <c r="B40" s="4"/>
      <c r="C40" s="4"/>
      <c r="D40" s="4"/>
      <c r="E40" s="4"/>
      <c r="F40" s="4"/>
      <c r="G40" s="4"/>
      <c r="H40" s="4"/>
      <c r="I40" s="4"/>
      <c r="K40" s="4"/>
      <c r="L40" s="4"/>
      <c r="M40" s="4"/>
      <c r="N40" s="4"/>
      <c r="O40" s="4"/>
      <c r="P40" s="4"/>
      <c r="Q40" s="4"/>
      <c r="R40" s="4"/>
      <c r="S40" s="4"/>
      <c r="U40" s="4"/>
      <c r="V40" s="4"/>
      <c r="W40" s="4"/>
      <c r="X40" s="4"/>
      <c r="Y40" s="4"/>
      <c r="Z40" s="4"/>
      <c r="AA40" s="4"/>
      <c r="AB40" s="4"/>
      <c r="AC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x14ac:dyDescent="0.35">
      <c r="B41" s="25"/>
      <c r="C41" s="25"/>
      <c r="D41" s="25"/>
      <c r="E41" s="25"/>
      <c r="F41" s="25"/>
      <c r="G41" s="25"/>
      <c r="H41" s="25"/>
      <c r="I41" s="25"/>
      <c r="L41" s="25"/>
      <c r="M41" s="25"/>
      <c r="N41" s="25"/>
      <c r="O41" s="25"/>
      <c r="P41" s="25"/>
      <c r="Q41" s="25"/>
      <c r="R41" s="25"/>
      <c r="S41" s="25"/>
      <c r="V41" s="25"/>
      <c r="W41" s="25"/>
      <c r="X41" s="25"/>
      <c r="Y41" s="25"/>
      <c r="Z41" s="25"/>
      <c r="AA41" s="25"/>
      <c r="AB41" s="25"/>
      <c r="AC41" s="25"/>
      <c r="AF41" s="25"/>
      <c r="AG41" s="25"/>
      <c r="AH41" s="25"/>
      <c r="AI41" s="25"/>
      <c r="AJ41" s="25"/>
      <c r="AK41" s="25"/>
      <c r="AL41" s="25"/>
      <c r="AM41" s="25"/>
    </row>
    <row r="42" spans="1:39" x14ac:dyDescent="0.35">
      <c r="B42" s="25"/>
      <c r="C42" s="25"/>
      <c r="D42" s="25"/>
      <c r="E42" s="25"/>
      <c r="F42" s="25"/>
      <c r="G42" s="25"/>
      <c r="H42" s="25"/>
      <c r="I42" s="25"/>
      <c r="L42" s="25"/>
      <c r="M42" s="25"/>
      <c r="N42" s="25"/>
      <c r="O42" s="25"/>
      <c r="P42" s="25"/>
      <c r="Q42" s="25"/>
      <c r="R42" s="25"/>
      <c r="S42" s="25"/>
      <c r="V42" s="25"/>
      <c r="W42" s="25"/>
      <c r="X42" s="25"/>
      <c r="Y42" s="25"/>
      <c r="Z42" s="25"/>
      <c r="AA42" s="25"/>
      <c r="AB42" s="25"/>
      <c r="AC42" s="25"/>
      <c r="AF42" s="25"/>
      <c r="AG42" s="25"/>
      <c r="AH42" s="25"/>
      <c r="AI42" s="25"/>
      <c r="AJ42" s="25"/>
      <c r="AK42" s="25"/>
      <c r="AL42" s="25"/>
      <c r="AM42" s="25"/>
    </row>
    <row r="43" spans="1:39" x14ac:dyDescent="0.35">
      <c r="B43" s="25"/>
      <c r="C43" s="25"/>
      <c r="D43" s="25"/>
      <c r="E43" s="25"/>
      <c r="F43" s="25"/>
      <c r="G43" s="25"/>
      <c r="H43" s="25"/>
      <c r="I43" s="25"/>
      <c r="L43" s="25"/>
      <c r="M43" s="25"/>
      <c r="N43" s="25"/>
      <c r="O43" s="25"/>
      <c r="P43" s="25"/>
      <c r="Q43" s="25"/>
      <c r="R43" s="25"/>
      <c r="S43" s="25"/>
      <c r="V43" s="25"/>
      <c r="W43" s="25"/>
      <c r="X43" s="25"/>
      <c r="Y43" s="25"/>
      <c r="Z43" s="25"/>
      <c r="AA43" s="25"/>
      <c r="AB43" s="25"/>
      <c r="AC43" s="25"/>
      <c r="AF43" s="25"/>
      <c r="AG43" s="25"/>
      <c r="AH43" s="25"/>
      <c r="AI43" s="25"/>
      <c r="AJ43" s="25"/>
      <c r="AK43" s="25"/>
      <c r="AL43" s="25"/>
      <c r="AM43" s="25"/>
    </row>
    <row r="44" spans="1:39" x14ac:dyDescent="0.35">
      <c r="B44" s="25"/>
      <c r="C44" s="25"/>
      <c r="D44" s="25"/>
      <c r="E44" s="25"/>
      <c r="F44" s="25"/>
      <c r="G44" s="25"/>
      <c r="H44" s="25"/>
      <c r="I44" s="25"/>
      <c r="L44" s="25"/>
      <c r="M44" s="25"/>
      <c r="N44" s="25"/>
      <c r="O44" s="25"/>
      <c r="P44" s="25"/>
      <c r="Q44" s="25"/>
      <c r="R44" s="25"/>
      <c r="S44" s="25"/>
      <c r="V44" s="25"/>
      <c r="W44" s="25"/>
      <c r="X44" s="25"/>
      <c r="Y44" s="25"/>
      <c r="Z44" s="25"/>
      <c r="AA44" s="25"/>
      <c r="AB44" s="25"/>
      <c r="AC44" s="25"/>
      <c r="AF44" s="25"/>
      <c r="AG44" s="25"/>
      <c r="AH44" s="25"/>
      <c r="AI44" s="25"/>
      <c r="AJ44" s="25"/>
      <c r="AK44" s="25"/>
      <c r="AL44" s="25"/>
      <c r="AM44" s="25"/>
    </row>
    <row r="45" spans="1:39" x14ac:dyDescent="0.35">
      <c r="B45" s="25"/>
      <c r="C45" s="25"/>
      <c r="D45" s="25"/>
      <c r="E45" s="25"/>
      <c r="F45" s="25"/>
      <c r="G45" s="25"/>
      <c r="H45" s="25"/>
      <c r="I45" s="25"/>
      <c r="L45" s="25"/>
      <c r="M45" s="25"/>
      <c r="N45" s="25"/>
      <c r="O45" s="25"/>
      <c r="P45" s="25"/>
      <c r="Q45" s="25"/>
      <c r="R45" s="25"/>
      <c r="S45" s="25"/>
      <c r="V45" s="25"/>
      <c r="W45" s="25"/>
      <c r="X45" s="25"/>
      <c r="Y45" s="25"/>
      <c r="Z45" s="25"/>
      <c r="AA45" s="25"/>
      <c r="AB45" s="25"/>
      <c r="AC45" s="25"/>
      <c r="AF45" s="25"/>
      <c r="AG45" s="25"/>
      <c r="AH45" s="25"/>
      <c r="AI45" s="25"/>
      <c r="AJ45" s="25"/>
      <c r="AK45" s="25"/>
      <c r="AL45" s="25"/>
      <c r="AM45" s="25"/>
    </row>
    <row r="47" spans="1:39" x14ac:dyDescent="0.35">
      <c r="A47" s="30"/>
      <c r="B47" s="4"/>
      <c r="C47" s="4"/>
      <c r="D47" s="4"/>
      <c r="E47" s="4"/>
      <c r="F47" s="4"/>
      <c r="G47" s="4"/>
      <c r="H47" s="4"/>
      <c r="I47" s="4"/>
      <c r="K47" s="30"/>
      <c r="L47" s="4"/>
      <c r="M47" s="4"/>
      <c r="N47" s="4"/>
      <c r="O47" s="4"/>
      <c r="P47" s="4"/>
      <c r="Q47" s="4"/>
      <c r="R47" s="4"/>
      <c r="S47" s="4"/>
      <c r="U47" s="30"/>
      <c r="V47" s="4"/>
      <c r="W47" s="4"/>
      <c r="X47" s="4"/>
      <c r="Y47" s="4"/>
      <c r="Z47" s="4"/>
      <c r="AA47" s="4"/>
      <c r="AB47" s="4"/>
      <c r="AC47" s="4"/>
      <c r="AE47" s="30"/>
      <c r="AF47" s="4"/>
      <c r="AG47" s="4"/>
      <c r="AH47" s="4"/>
      <c r="AI47" s="4"/>
      <c r="AJ47" s="4"/>
      <c r="AK47" s="4"/>
      <c r="AL47" s="4"/>
      <c r="AM47" s="4"/>
    </row>
    <row r="48" spans="1:39" x14ac:dyDescent="0.35">
      <c r="A48" s="4"/>
      <c r="B48" s="4"/>
      <c r="C48" s="4"/>
      <c r="D48" s="4"/>
      <c r="E48" s="4"/>
      <c r="F48" s="4"/>
      <c r="G48" s="4"/>
      <c r="H48" s="4"/>
      <c r="I48" s="4"/>
      <c r="K48" s="4"/>
      <c r="L48" s="4"/>
      <c r="M48" s="4"/>
      <c r="N48" s="4"/>
      <c r="O48" s="4"/>
      <c r="P48" s="4"/>
      <c r="Q48" s="4"/>
      <c r="R48" s="4"/>
      <c r="S48" s="4"/>
      <c r="U48" s="4"/>
      <c r="V48" s="4"/>
      <c r="W48" s="4"/>
      <c r="X48" s="4"/>
      <c r="Y48" s="4"/>
      <c r="Z48" s="4"/>
      <c r="AA48" s="4"/>
      <c r="AB48" s="4"/>
      <c r="AC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 x14ac:dyDescent="0.35">
      <c r="B49" s="25"/>
      <c r="C49" s="25"/>
      <c r="D49" s="25"/>
      <c r="E49" s="25"/>
      <c r="F49" s="25"/>
      <c r="G49" s="25"/>
      <c r="H49" s="25"/>
      <c r="I49" s="25"/>
      <c r="L49" s="25"/>
      <c r="M49" s="25"/>
      <c r="N49" s="25"/>
      <c r="O49" s="25"/>
      <c r="P49" s="25"/>
      <c r="Q49" s="25"/>
      <c r="R49" s="25"/>
      <c r="S49" s="25"/>
      <c r="V49" s="25"/>
      <c r="W49" s="25"/>
      <c r="X49" s="25"/>
      <c r="Y49" s="25"/>
      <c r="Z49" s="25"/>
      <c r="AA49" s="25"/>
      <c r="AB49" s="25"/>
      <c r="AC49" s="25"/>
      <c r="AF49" s="25"/>
      <c r="AG49" s="25"/>
      <c r="AH49" s="25"/>
      <c r="AI49" s="25"/>
      <c r="AJ49" s="25"/>
      <c r="AK49" s="25"/>
      <c r="AL49" s="25"/>
      <c r="AM49" s="25"/>
    </row>
    <row r="50" spans="1:39" x14ac:dyDescent="0.35">
      <c r="B50" s="25"/>
      <c r="C50" s="25"/>
      <c r="D50" s="25"/>
      <c r="E50" s="25"/>
      <c r="F50" s="25"/>
      <c r="G50" s="25"/>
      <c r="H50" s="25"/>
      <c r="I50" s="25"/>
      <c r="L50" s="25"/>
      <c r="M50" s="25"/>
      <c r="N50" s="25"/>
      <c r="O50" s="25"/>
      <c r="P50" s="25"/>
      <c r="Q50" s="25"/>
      <c r="R50" s="25"/>
      <c r="S50" s="25"/>
      <c r="V50" s="25"/>
      <c r="W50" s="25"/>
      <c r="X50" s="25"/>
      <c r="Y50" s="25"/>
      <c r="Z50" s="25"/>
      <c r="AA50" s="25"/>
      <c r="AB50" s="25"/>
      <c r="AC50" s="25"/>
      <c r="AF50" s="25"/>
      <c r="AG50" s="25"/>
      <c r="AH50" s="25"/>
      <c r="AI50" s="25"/>
      <c r="AJ50" s="25"/>
      <c r="AK50" s="25"/>
      <c r="AL50" s="25"/>
      <c r="AM50" s="25"/>
    </row>
    <row r="51" spans="1:39" x14ac:dyDescent="0.35">
      <c r="B51" s="25"/>
      <c r="C51" s="25"/>
      <c r="D51" s="25"/>
      <c r="E51" s="25"/>
      <c r="F51" s="25"/>
      <c r="G51" s="25"/>
      <c r="H51" s="25"/>
      <c r="I51" s="25"/>
      <c r="L51" s="25"/>
      <c r="M51" s="25"/>
      <c r="N51" s="25"/>
      <c r="O51" s="25"/>
      <c r="P51" s="25"/>
      <c r="Q51" s="25"/>
      <c r="R51" s="25"/>
      <c r="S51" s="25"/>
      <c r="V51" s="25"/>
      <c r="W51" s="25"/>
      <c r="X51" s="25"/>
      <c r="Y51" s="25"/>
      <c r="Z51" s="25"/>
      <c r="AA51" s="25"/>
      <c r="AB51" s="25"/>
      <c r="AC51" s="25"/>
      <c r="AF51" s="25"/>
      <c r="AG51" s="25"/>
      <c r="AH51" s="25"/>
      <c r="AI51" s="25"/>
      <c r="AJ51" s="25"/>
      <c r="AK51" s="25"/>
      <c r="AL51" s="25"/>
      <c r="AM51" s="25"/>
    </row>
    <row r="52" spans="1:39" x14ac:dyDescent="0.35">
      <c r="B52" s="25"/>
      <c r="C52" s="25"/>
      <c r="D52" s="25"/>
      <c r="E52" s="25"/>
      <c r="F52" s="25"/>
      <c r="G52" s="25"/>
      <c r="H52" s="25"/>
      <c r="I52" s="25"/>
      <c r="L52" s="25"/>
      <c r="M52" s="25"/>
      <c r="N52" s="25"/>
      <c r="O52" s="25"/>
      <c r="P52" s="25"/>
      <c r="Q52" s="25"/>
      <c r="R52" s="25"/>
      <c r="S52" s="25"/>
      <c r="V52" s="25"/>
      <c r="W52" s="25"/>
      <c r="X52" s="25"/>
      <c r="Y52" s="25"/>
      <c r="Z52" s="25"/>
      <c r="AA52" s="25"/>
      <c r="AB52" s="25"/>
      <c r="AC52" s="25"/>
      <c r="AF52" s="25"/>
      <c r="AG52" s="25"/>
      <c r="AH52" s="25"/>
      <c r="AI52" s="25"/>
      <c r="AJ52" s="25"/>
      <c r="AK52" s="25"/>
      <c r="AL52" s="25"/>
      <c r="AM52" s="25"/>
    </row>
    <row r="53" spans="1:39" x14ac:dyDescent="0.35">
      <c r="B53" s="25"/>
      <c r="C53" s="25"/>
      <c r="D53" s="25"/>
      <c r="E53" s="25"/>
      <c r="F53" s="25"/>
      <c r="G53" s="25"/>
      <c r="H53" s="25"/>
      <c r="I53" s="25"/>
      <c r="L53" s="25"/>
      <c r="M53" s="25"/>
      <c r="N53" s="25"/>
      <c r="O53" s="25"/>
      <c r="P53" s="25"/>
      <c r="Q53" s="25"/>
      <c r="R53" s="25"/>
      <c r="S53" s="25"/>
      <c r="V53" s="25"/>
      <c r="W53" s="25"/>
      <c r="X53" s="25"/>
      <c r="Y53" s="25"/>
      <c r="Z53" s="25"/>
      <c r="AA53" s="25"/>
      <c r="AB53" s="25"/>
      <c r="AC53" s="25"/>
      <c r="AF53" s="25"/>
      <c r="AG53" s="25"/>
      <c r="AH53" s="25"/>
      <c r="AI53" s="25"/>
      <c r="AJ53" s="25"/>
      <c r="AK53" s="25"/>
      <c r="AL53" s="25"/>
      <c r="AM53" s="25"/>
    </row>
    <row r="55" spans="1:39" x14ac:dyDescent="0.35">
      <c r="A55" s="30"/>
      <c r="B55" s="4"/>
      <c r="C55" s="4"/>
      <c r="D55" s="4"/>
      <c r="E55" s="4"/>
      <c r="F55" s="4"/>
      <c r="G55" s="4"/>
      <c r="H55" s="4"/>
      <c r="I55" s="4"/>
      <c r="K55" s="30"/>
      <c r="L55" s="4"/>
      <c r="M55" s="4"/>
      <c r="N55" s="4"/>
      <c r="O55" s="4"/>
      <c r="P55" s="4"/>
      <c r="Q55" s="4"/>
      <c r="R55" s="4"/>
      <c r="S55" s="4"/>
      <c r="U55" s="30"/>
      <c r="V55" s="4"/>
      <c r="W55" s="4"/>
      <c r="X55" s="4"/>
      <c r="Y55" s="4"/>
      <c r="Z55" s="4"/>
      <c r="AA55" s="4"/>
      <c r="AB55" s="4"/>
      <c r="AC55" s="4"/>
      <c r="AE55" s="30"/>
      <c r="AF55" s="4"/>
      <c r="AG55" s="4"/>
      <c r="AH55" s="4"/>
      <c r="AI55" s="4"/>
      <c r="AJ55" s="4"/>
      <c r="AK55" s="4"/>
      <c r="AL55" s="4"/>
      <c r="AM55" s="4"/>
    </row>
    <row r="56" spans="1:39" x14ac:dyDescent="0.35">
      <c r="A56" s="4"/>
      <c r="B56" s="4"/>
      <c r="C56" s="4"/>
      <c r="D56" s="4"/>
      <c r="E56" s="4"/>
      <c r="F56" s="4"/>
      <c r="G56" s="4"/>
      <c r="H56" s="4"/>
      <c r="I56" s="4"/>
      <c r="K56" s="4"/>
      <c r="L56" s="4"/>
      <c r="M56" s="4"/>
      <c r="N56" s="4"/>
      <c r="O56" s="4"/>
      <c r="P56" s="4"/>
      <c r="Q56" s="4"/>
      <c r="R56" s="4"/>
      <c r="S56" s="4"/>
      <c r="U56" s="4"/>
      <c r="V56" s="4"/>
      <c r="W56" s="4"/>
      <c r="X56" s="4"/>
      <c r="Y56" s="4"/>
      <c r="Z56" s="4"/>
      <c r="AA56" s="4"/>
      <c r="AB56" s="4"/>
      <c r="AC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1:39" x14ac:dyDescent="0.35">
      <c r="B57" s="25"/>
      <c r="C57" s="25"/>
      <c r="D57" s="25"/>
      <c r="E57" s="25"/>
      <c r="F57" s="25"/>
      <c r="G57" s="25"/>
      <c r="H57" s="25"/>
      <c r="I57" s="25"/>
      <c r="L57" s="25"/>
      <c r="M57" s="25"/>
      <c r="N57" s="25"/>
      <c r="O57" s="25"/>
      <c r="P57" s="25"/>
      <c r="Q57" s="25"/>
      <c r="R57" s="25"/>
      <c r="S57" s="25"/>
      <c r="V57" s="25"/>
      <c r="W57" s="25"/>
      <c r="X57" s="25"/>
      <c r="Y57" s="25"/>
      <c r="Z57" s="25"/>
      <c r="AA57" s="25"/>
      <c r="AB57" s="25"/>
      <c r="AC57" s="25"/>
      <c r="AF57" s="25"/>
      <c r="AG57" s="25"/>
      <c r="AH57" s="25"/>
      <c r="AI57" s="25"/>
      <c r="AJ57" s="25"/>
      <c r="AK57" s="25"/>
      <c r="AL57" s="25"/>
      <c r="AM57" s="25"/>
    </row>
    <row r="58" spans="1:39" x14ac:dyDescent="0.35">
      <c r="B58" s="25"/>
      <c r="C58" s="25"/>
      <c r="D58" s="25"/>
      <c r="E58" s="25"/>
      <c r="F58" s="25"/>
      <c r="G58" s="25"/>
      <c r="H58" s="25"/>
      <c r="I58" s="25"/>
      <c r="L58" s="25"/>
      <c r="M58" s="25"/>
      <c r="N58" s="25"/>
      <c r="O58" s="25"/>
      <c r="P58" s="25"/>
      <c r="Q58" s="25"/>
      <c r="R58" s="25"/>
      <c r="S58" s="25"/>
      <c r="V58" s="25"/>
      <c r="W58" s="25"/>
      <c r="X58" s="25"/>
      <c r="Y58" s="25"/>
      <c r="Z58" s="25"/>
      <c r="AA58" s="25"/>
      <c r="AB58" s="25"/>
      <c r="AC58" s="25"/>
      <c r="AF58" s="25"/>
      <c r="AG58" s="25"/>
      <c r="AH58" s="25"/>
      <c r="AI58" s="25"/>
      <c r="AJ58" s="25"/>
      <c r="AK58" s="25"/>
      <c r="AL58" s="25"/>
      <c r="AM58" s="25"/>
    </row>
    <row r="59" spans="1:39" x14ac:dyDescent="0.35">
      <c r="B59" s="25"/>
      <c r="C59" s="25"/>
      <c r="D59" s="25"/>
      <c r="E59" s="25"/>
      <c r="F59" s="25"/>
      <c r="G59" s="25"/>
      <c r="H59" s="25"/>
      <c r="I59" s="25"/>
      <c r="L59" s="25"/>
      <c r="M59" s="25"/>
      <c r="N59" s="25"/>
      <c r="O59" s="25"/>
      <c r="P59" s="25"/>
      <c r="Q59" s="25"/>
      <c r="R59" s="25"/>
      <c r="S59" s="25"/>
      <c r="V59" s="25"/>
      <c r="W59" s="25"/>
      <c r="X59" s="25"/>
      <c r="Y59" s="25"/>
      <c r="Z59" s="25"/>
      <c r="AA59" s="25"/>
      <c r="AB59" s="25"/>
      <c r="AC59" s="25"/>
      <c r="AF59" s="25"/>
      <c r="AG59" s="25"/>
      <c r="AH59" s="25"/>
      <c r="AI59" s="25"/>
      <c r="AJ59" s="25"/>
      <c r="AK59" s="25"/>
      <c r="AL59" s="25"/>
      <c r="AM59" s="25"/>
    </row>
    <row r="60" spans="1:39" x14ac:dyDescent="0.35">
      <c r="B60" s="25"/>
      <c r="C60" s="25"/>
      <c r="D60" s="25"/>
      <c r="E60" s="25"/>
      <c r="F60" s="25"/>
      <c r="G60" s="25"/>
      <c r="H60" s="25"/>
      <c r="I60" s="25"/>
      <c r="L60" s="25"/>
      <c r="M60" s="25"/>
      <c r="N60" s="25"/>
      <c r="O60" s="25"/>
      <c r="P60" s="25"/>
      <c r="Q60" s="25"/>
      <c r="R60" s="25"/>
      <c r="S60" s="25"/>
      <c r="V60" s="25"/>
      <c r="W60" s="25"/>
      <c r="X60" s="25"/>
      <c r="Y60" s="25"/>
      <c r="Z60" s="25"/>
      <c r="AA60" s="25"/>
      <c r="AB60" s="25"/>
      <c r="AC60" s="25"/>
      <c r="AF60" s="25"/>
      <c r="AG60" s="25"/>
      <c r="AH60" s="25"/>
      <c r="AI60" s="25"/>
      <c r="AJ60" s="25"/>
      <c r="AK60" s="25"/>
      <c r="AL60" s="25"/>
      <c r="AM60" s="25"/>
    </row>
    <row r="61" spans="1:39" x14ac:dyDescent="0.35">
      <c r="B61" s="25"/>
      <c r="C61" s="25"/>
      <c r="D61" s="25"/>
      <c r="E61" s="25"/>
      <c r="F61" s="25"/>
      <c r="G61" s="25"/>
      <c r="H61" s="25"/>
      <c r="I61" s="25"/>
      <c r="L61" s="25"/>
      <c r="M61" s="25"/>
      <c r="N61" s="25"/>
      <c r="O61" s="25"/>
      <c r="P61" s="25"/>
      <c r="Q61" s="25"/>
      <c r="R61" s="25"/>
      <c r="S61" s="25"/>
      <c r="V61" s="25"/>
      <c r="W61" s="25"/>
      <c r="X61" s="25"/>
      <c r="Y61" s="25"/>
      <c r="Z61" s="25"/>
      <c r="AA61" s="25"/>
      <c r="AB61" s="25"/>
      <c r="AC61" s="25"/>
      <c r="AF61" s="25"/>
      <c r="AG61" s="25"/>
      <c r="AH61" s="25"/>
      <c r="AI61" s="25"/>
      <c r="AJ61" s="25"/>
      <c r="AK61" s="25"/>
      <c r="AL61" s="25"/>
      <c r="AM61" s="25"/>
    </row>
    <row r="63" spans="1:39" x14ac:dyDescent="0.35">
      <c r="A63" s="30"/>
      <c r="B63" s="4"/>
      <c r="C63" s="4"/>
      <c r="D63" s="4"/>
      <c r="E63" s="4"/>
      <c r="F63" s="4"/>
      <c r="G63" s="4"/>
      <c r="H63" s="4"/>
      <c r="I63" s="4"/>
      <c r="K63" s="30"/>
      <c r="L63" s="4"/>
      <c r="M63" s="4"/>
      <c r="N63" s="4"/>
      <c r="O63" s="4"/>
      <c r="P63" s="4"/>
      <c r="Q63" s="4"/>
      <c r="R63" s="4"/>
      <c r="S63" s="4"/>
      <c r="U63" s="30"/>
      <c r="V63" s="4"/>
      <c r="W63" s="4"/>
      <c r="X63" s="4"/>
      <c r="Y63" s="4"/>
      <c r="Z63" s="4"/>
      <c r="AA63" s="4"/>
      <c r="AB63" s="4"/>
      <c r="AC63" s="4"/>
      <c r="AE63" s="30"/>
      <c r="AF63" s="4"/>
      <c r="AG63" s="4"/>
      <c r="AH63" s="4"/>
      <c r="AI63" s="4"/>
      <c r="AJ63" s="4"/>
      <c r="AK63" s="4"/>
      <c r="AL63" s="4"/>
      <c r="AM63" s="4"/>
    </row>
    <row r="64" spans="1:39" x14ac:dyDescent="0.35">
      <c r="A64" s="4"/>
      <c r="B64" s="4"/>
      <c r="C64" s="4"/>
      <c r="D64" s="4"/>
      <c r="E64" s="4"/>
      <c r="F64" s="4"/>
      <c r="G64" s="4"/>
      <c r="H64" s="4"/>
      <c r="I64" s="4"/>
      <c r="K64" s="4"/>
      <c r="L64" s="4"/>
      <c r="M64" s="4"/>
      <c r="N64" s="4"/>
      <c r="O64" s="4"/>
      <c r="P64" s="4"/>
      <c r="Q64" s="4"/>
      <c r="R64" s="4"/>
      <c r="S64" s="4"/>
      <c r="U64" s="4"/>
      <c r="V64" s="4"/>
      <c r="W64" s="4"/>
      <c r="X64" s="4"/>
      <c r="Y64" s="4"/>
      <c r="Z64" s="4"/>
      <c r="AA64" s="4"/>
      <c r="AB64" s="4"/>
      <c r="AC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39" x14ac:dyDescent="0.35">
      <c r="B65" s="25"/>
      <c r="C65" s="25"/>
      <c r="D65" s="25"/>
      <c r="E65" s="25"/>
      <c r="F65" s="25"/>
      <c r="G65" s="25"/>
      <c r="H65" s="25"/>
      <c r="I65" s="25"/>
      <c r="L65" s="25"/>
      <c r="M65" s="25"/>
      <c r="N65" s="25"/>
      <c r="O65" s="25"/>
      <c r="P65" s="25"/>
      <c r="Q65" s="25"/>
      <c r="R65" s="25"/>
      <c r="S65" s="25"/>
      <c r="V65" s="25"/>
      <c r="W65" s="25"/>
      <c r="X65" s="25"/>
      <c r="Y65" s="25"/>
      <c r="Z65" s="25"/>
      <c r="AA65" s="25"/>
      <c r="AB65" s="25"/>
      <c r="AC65" s="25"/>
      <c r="AF65" s="25"/>
      <c r="AG65" s="25"/>
      <c r="AH65" s="25"/>
      <c r="AI65" s="25"/>
      <c r="AJ65" s="25"/>
      <c r="AK65" s="25"/>
      <c r="AL65" s="25"/>
      <c r="AM65" s="25"/>
    </row>
    <row r="66" spans="1:39" x14ac:dyDescent="0.35">
      <c r="B66" s="25"/>
      <c r="C66" s="25"/>
      <c r="D66" s="25"/>
      <c r="E66" s="25"/>
      <c r="F66" s="25"/>
      <c r="G66" s="25"/>
      <c r="H66" s="25"/>
      <c r="I66" s="25"/>
      <c r="L66" s="25"/>
      <c r="M66" s="25"/>
      <c r="N66" s="25"/>
      <c r="O66" s="25"/>
      <c r="P66" s="25"/>
      <c r="Q66" s="25"/>
      <c r="R66" s="25"/>
      <c r="S66" s="25"/>
      <c r="V66" s="25"/>
      <c r="W66" s="25"/>
      <c r="X66" s="25"/>
      <c r="Y66" s="25"/>
      <c r="Z66" s="25"/>
      <c r="AA66" s="25"/>
      <c r="AB66" s="25"/>
      <c r="AC66" s="25"/>
      <c r="AF66" s="25"/>
      <c r="AG66" s="25"/>
      <c r="AH66" s="25"/>
      <c r="AI66" s="25"/>
      <c r="AJ66" s="25"/>
      <c r="AK66" s="25"/>
      <c r="AL66" s="25"/>
      <c r="AM66" s="25"/>
    </row>
    <row r="67" spans="1:39" x14ac:dyDescent="0.35">
      <c r="B67" s="25"/>
      <c r="C67" s="25"/>
      <c r="D67" s="25"/>
      <c r="E67" s="25"/>
      <c r="F67" s="25"/>
      <c r="G67" s="25"/>
      <c r="H67" s="25"/>
      <c r="I67" s="25"/>
      <c r="L67" s="25"/>
      <c r="M67" s="25"/>
      <c r="N67" s="25"/>
      <c r="O67" s="25"/>
      <c r="P67" s="25"/>
      <c r="Q67" s="25"/>
      <c r="R67" s="25"/>
      <c r="S67" s="25"/>
      <c r="V67" s="25"/>
      <c r="W67" s="25"/>
      <c r="X67" s="25"/>
      <c r="Y67" s="25"/>
      <c r="Z67" s="25"/>
      <c r="AA67" s="25"/>
      <c r="AB67" s="25"/>
      <c r="AC67" s="25"/>
      <c r="AF67" s="25"/>
      <c r="AG67" s="25"/>
      <c r="AH67" s="25"/>
      <c r="AI67" s="25"/>
      <c r="AJ67" s="25"/>
      <c r="AK67" s="25"/>
      <c r="AL67" s="25"/>
      <c r="AM67" s="25"/>
    </row>
    <row r="68" spans="1:39" x14ac:dyDescent="0.35">
      <c r="B68" s="25"/>
      <c r="C68" s="25"/>
      <c r="D68" s="25"/>
      <c r="E68" s="25"/>
      <c r="F68" s="25"/>
      <c r="G68" s="25"/>
      <c r="H68" s="25"/>
      <c r="I68" s="25"/>
      <c r="L68" s="25"/>
      <c r="M68" s="25"/>
      <c r="N68" s="25"/>
      <c r="O68" s="25"/>
      <c r="P68" s="25"/>
      <c r="Q68" s="25"/>
      <c r="R68" s="25"/>
      <c r="S68" s="25"/>
      <c r="V68" s="25"/>
      <c r="W68" s="25"/>
      <c r="X68" s="25"/>
      <c r="Y68" s="25"/>
      <c r="Z68" s="25"/>
      <c r="AA68" s="25"/>
      <c r="AB68" s="25"/>
      <c r="AC68" s="25"/>
      <c r="AF68" s="25"/>
      <c r="AG68" s="25"/>
      <c r="AH68" s="25"/>
      <c r="AI68" s="25"/>
      <c r="AJ68" s="25"/>
      <c r="AK68" s="25"/>
      <c r="AL68" s="25"/>
      <c r="AM68" s="25"/>
    </row>
    <row r="69" spans="1:39" x14ac:dyDescent="0.35">
      <c r="B69" s="25"/>
      <c r="C69" s="25"/>
      <c r="D69" s="25"/>
      <c r="E69" s="25"/>
      <c r="F69" s="25"/>
      <c r="G69" s="25"/>
      <c r="H69" s="25"/>
      <c r="I69" s="25"/>
      <c r="L69" s="25"/>
      <c r="M69" s="25"/>
      <c r="N69" s="25"/>
      <c r="O69" s="25"/>
      <c r="P69" s="25"/>
      <c r="Q69" s="25"/>
      <c r="R69" s="25"/>
      <c r="S69" s="25"/>
      <c r="V69" s="25"/>
      <c r="W69" s="25"/>
      <c r="X69" s="25"/>
      <c r="Y69" s="25"/>
      <c r="Z69" s="25"/>
      <c r="AA69" s="25"/>
      <c r="AB69" s="25"/>
      <c r="AC69" s="25"/>
      <c r="AF69" s="25"/>
      <c r="AG69" s="25"/>
      <c r="AH69" s="25"/>
      <c r="AI69" s="25"/>
      <c r="AJ69" s="25"/>
      <c r="AK69" s="25"/>
      <c r="AL69" s="25"/>
      <c r="AM69" s="25"/>
    </row>
    <row r="71" spans="1:39" x14ac:dyDescent="0.35">
      <c r="A71" s="30"/>
      <c r="B71" s="4"/>
      <c r="C71" s="4"/>
      <c r="D71" s="4"/>
      <c r="E71" s="4"/>
      <c r="F71" s="4"/>
      <c r="G71" s="4"/>
      <c r="H71" s="4"/>
      <c r="I71" s="4"/>
      <c r="K71" s="30"/>
      <c r="L71" s="4"/>
      <c r="M71" s="4"/>
      <c r="N71" s="4"/>
      <c r="O71" s="4"/>
      <c r="P71" s="4"/>
      <c r="Q71" s="4"/>
      <c r="R71" s="4"/>
      <c r="S71" s="4"/>
      <c r="U71" s="30"/>
      <c r="V71" s="4"/>
      <c r="W71" s="4"/>
      <c r="X71" s="4"/>
      <c r="Y71" s="4"/>
      <c r="Z71" s="4"/>
      <c r="AA71" s="4"/>
      <c r="AB71" s="4"/>
      <c r="AC71" s="4"/>
      <c r="AE71" s="30"/>
      <c r="AF71" s="4"/>
      <c r="AG71" s="4"/>
      <c r="AH71" s="4"/>
      <c r="AI71" s="4"/>
      <c r="AJ71" s="4"/>
      <c r="AK71" s="4"/>
      <c r="AL71" s="4"/>
      <c r="AM71" s="4"/>
    </row>
    <row r="72" spans="1:39" x14ac:dyDescent="0.35">
      <c r="A72" s="4"/>
      <c r="B72" s="4"/>
      <c r="C72" s="4"/>
      <c r="D72" s="4"/>
      <c r="E72" s="4"/>
      <c r="F72" s="4"/>
      <c r="G72" s="4"/>
      <c r="H72" s="4"/>
      <c r="I72" s="4"/>
      <c r="K72" s="4"/>
      <c r="L72" s="4"/>
      <c r="M72" s="4"/>
      <c r="N72" s="4"/>
      <c r="O72" s="4"/>
      <c r="P72" s="4"/>
      <c r="Q72" s="4"/>
      <c r="R72" s="4"/>
      <c r="S72" s="4"/>
      <c r="U72" s="4"/>
      <c r="V72" s="4"/>
      <c r="W72" s="4"/>
      <c r="X72" s="4"/>
      <c r="Y72" s="4"/>
      <c r="Z72" s="4"/>
      <c r="AA72" s="4"/>
      <c r="AB72" s="4"/>
      <c r="AC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 x14ac:dyDescent="0.35">
      <c r="B73" s="25"/>
      <c r="C73" s="25"/>
      <c r="D73" s="25"/>
      <c r="E73" s="25"/>
      <c r="F73" s="25"/>
      <c r="G73" s="25"/>
      <c r="H73" s="25"/>
      <c r="I73" s="25"/>
      <c r="L73" s="25"/>
      <c r="M73" s="25"/>
      <c r="N73" s="25"/>
      <c r="O73" s="25"/>
      <c r="P73" s="25"/>
      <c r="Q73" s="25"/>
      <c r="R73" s="25"/>
      <c r="S73" s="25"/>
      <c r="V73" s="25"/>
      <c r="W73" s="25"/>
      <c r="X73" s="25"/>
      <c r="Y73" s="25"/>
      <c r="Z73" s="25"/>
      <c r="AA73" s="25"/>
      <c r="AB73" s="25"/>
      <c r="AC73" s="25"/>
      <c r="AF73" s="25"/>
      <c r="AG73" s="25"/>
      <c r="AH73" s="25"/>
      <c r="AI73" s="25"/>
      <c r="AJ73" s="25"/>
      <c r="AK73" s="25"/>
      <c r="AL73" s="25"/>
      <c r="AM73" s="25"/>
    </row>
    <row r="74" spans="1:39" x14ac:dyDescent="0.35">
      <c r="B74" s="25"/>
      <c r="C74" s="25"/>
      <c r="D74" s="25"/>
      <c r="E74" s="25"/>
      <c r="F74" s="25"/>
      <c r="G74" s="25"/>
      <c r="H74" s="25"/>
      <c r="I74" s="25"/>
      <c r="L74" s="25"/>
      <c r="M74" s="25"/>
      <c r="N74" s="25"/>
      <c r="O74" s="25"/>
      <c r="P74" s="25"/>
      <c r="Q74" s="25"/>
      <c r="R74" s="25"/>
      <c r="S74" s="25"/>
      <c r="V74" s="25"/>
      <c r="W74" s="25"/>
      <c r="X74" s="25"/>
      <c r="Y74" s="25"/>
      <c r="Z74" s="25"/>
      <c r="AA74" s="25"/>
      <c r="AB74" s="25"/>
      <c r="AC74" s="25"/>
      <c r="AF74" s="25"/>
      <c r="AG74" s="25"/>
      <c r="AH74" s="25"/>
      <c r="AI74" s="25"/>
      <c r="AJ74" s="25"/>
      <c r="AK74" s="25"/>
      <c r="AL74" s="25"/>
      <c r="AM74" s="25"/>
    </row>
    <row r="75" spans="1:39" x14ac:dyDescent="0.35">
      <c r="B75" s="25"/>
      <c r="C75" s="25"/>
      <c r="D75" s="25"/>
      <c r="E75" s="25"/>
      <c r="F75" s="25"/>
      <c r="G75" s="25"/>
      <c r="H75" s="25"/>
      <c r="I75" s="25"/>
      <c r="L75" s="25"/>
      <c r="M75" s="25"/>
      <c r="N75" s="25"/>
      <c r="O75" s="25"/>
      <c r="P75" s="25"/>
      <c r="Q75" s="25"/>
      <c r="R75" s="25"/>
      <c r="S75" s="25"/>
      <c r="V75" s="25"/>
      <c r="W75" s="25"/>
      <c r="X75" s="25"/>
      <c r="Y75" s="25"/>
      <c r="Z75" s="25"/>
      <c r="AA75" s="25"/>
      <c r="AB75" s="25"/>
      <c r="AC75" s="25"/>
      <c r="AF75" s="25"/>
      <c r="AG75" s="25"/>
      <c r="AH75" s="25"/>
      <c r="AI75" s="25"/>
      <c r="AJ75" s="25"/>
      <c r="AK75" s="25"/>
      <c r="AL75" s="25"/>
      <c r="AM75" s="25"/>
    </row>
    <row r="76" spans="1:39" x14ac:dyDescent="0.35">
      <c r="B76" s="25"/>
      <c r="C76" s="25"/>
      <c r="D76" s="25"/>
      <c r="E76" s="25"/>
      <c r="F76" s="25"/>
      <c r="G76" s="25"/>
      <c r="H76" s="25"/>
      <c r="I76" s="25"/>
      <c r="L76" s="25"/>
      <c r="M76" s="25"/>
      <c r="N76" s="25"/>
      <c r="O76" s="25"/>
      <c r="P76" s="25"/>
      <c r="Q76" s="25"/>
      <c r="R76" s="25"/>
      <c r="S76" s="25"/>
      <c r="V76" s="25"/>
      <c r="W76" s="25"/>
      <c r="X76" s="25"/>
      <c r="Y76" s="25"/>
      <c r="Z76" s="25"/>
      <c r="AA76" s="25"/>
      <c r="AB76" s="25"/>
      <c r="AC76" s="25"/>
      <c r="AF76" s="25"/>
      <c r="AG76" s="25"/>
      <c r="AH76" s="25"/>
      <c r="AI76" s="25"/>
      <c r="AJ76" s="25"/>
      <c r="AK76" s="25"/>
      <c r="AL76" s="25"/>
      <c r="AM76" s="25"/>
    </row>
    <row r="77" spans="1:39" x14ac:dyDescent="0.35">
      <c r="B77" s="25"/>
      <c r="C77" s="25"/>
      <c r="D77" s="25"/>
      <c r="E77" s="25"/>
      <c r="F77" s="25"/>
      <c r="G77" s="25"/>
      <c r="H77" s="25"/>
      <c r="I77" s="25"/>
      <c r="L77" s="25"/>
      <c r="M77" s="25"/>
      <c r="N77" s="25"/>
      <c r="O77" s="25"/>
      <c r="P77" s="25"/>
      <c r="Q77" s="25"/>
      <c r="R77" s="25"/>
      <c r="S77" s="25"/>
      <c r="V77" s="25"/>
      <c r="W77" s="25"/>
      <c r="X77" s="25"/>
      <c r="Y77" s="25"/>
      <c r="Z77" s="25"/>
      <c r="AA77" s="25"/>
      <c r="AB77" s="25"/>
      <c r="AC77" s="25"/>
      <c r="AF77" s="25"/>
      <c r="AG77" s="25"/>
      <c r="AH77" s="25"/>
      <c r="AI77" s="25"/>
      <c r="AJ77" s="25"/>
      <c r="AK77" s="25"/>
      <c r="AL77" s="25"/>
      <c r="AM77" s="25"/>
    </row>
    <row r="79" spans="1:39" x14ac:dyDescent="0.35">
      <c r="A79" s="30"/>
      <c r="B79" s="4"/>
      <c r="C79" s="4"/>
      <c r="D79" s="4"/>
      <c r="E79" s="4"/>
      <c r="F79" s="4"/>
      <c r="G79" s="4"/>
      <c r="H79" s="4"/>
      <c r="I79" s="4"/>
      <c r="K79" s="30"/>
      <c r="L79" s="4"/>
      <c r="M79" s="4"/>
      <c r="N79" s="4"/>
      <c r="O79" s="4"/>
      <c r="P79" s="4"/>
      <c r="Q79" s="4"/>
      <c r="R79" s="4"/>
      <c r="S79" s="4"/>
      <c r="U79" s="30"/>
      <c r="V79" s="4"/>
      <c r="W79" s="4"/>
      <c r="X79" s="4"/>
      <c r="Y79" s="4"/>
      <c r="Z79" s="4"/>
      <c r="AA79" s="4"/>
      <c r="AB79" s="4"/>
      <c r="AC79" s="4"/>
      <c r="AE79" s="30"/>
      <c r="AF79" s="4"/>
      <c r="AG79" s="4"/>
      <c r="AH79" s="4"/>
      <c r="AI79" s="4"/>
      <c r="AJ79" s="4"/>
      <c r="AK79" s="4"/>
      <c r="AL79" s="4"/>
      <c r="AM79" s="4"/>
    </row>
    <row r="80" spans="1:39" x14ac:dyDescent="0.35">
      <c r="A80" s="4"/>
      <c r="B80" s="4"/>
      <c r="C80" s="4"/>
      <c r="D80" s="4"/>
      <c r="E80" s="4"/>
      <c r="F80" s="4"/>
      <c r="G80" s="4"/>
      <c r="H80" s="4"/>
      <c r="I80" s="4"/>
      <c r="K80" s="4"/>
      <c r="L80" s="4"/>
      <c r="M80" s="4"/>
      <c r="N80" s="4"/>
      <c r="O80" s="4"/>
      <c r="P80" s="4"/>
      <c r="Q80" s="4"/>
      <c r="R80" s="4"/>
      <c r="S80" s="4"/>
      <c r="U80" s="4"/>
      <c r="V80" s="4"/>
      <c r="W80" s="4"/>
      <c r="X80" s="4"/>
      <c r="Y80" s="4"/>
      <c r="Z80" s="4"/>
      <c r="AA80" s="4"/>
      <c r="AB80" s="4"/>
      <c r="AC80" s="4"/>
      <c r="AE80" s="4"/>
      <c r="AF80" s="4"/>
      <c r="AG80" s="4"/>
      <c r="AH80" s="4"/>
      <c r="AI80" s="4"/>
      <c r="AJ80" s="4"/>
      <c r="AK80" s="4"/>
      <c r="AL80" s="4"/>
      <c r="AM80" s="4"/>
    </row>
    <row r="81" spans="1:39" x14ac:dyDescent="0.35">
      <c r="B81" s="25"/>
      <c r="C81" s="25"/>
      <c r="D81" s="25"/>
      <c r="E81" s="25"/>
      <c r="F81" s="25"/>
      <c r="G81" s="25"/>
      <c r="H81" s="25"/>
      <c r="I81" s="25"/>
      <c r="L81" s="25"/>
      <c r="M81" s="25"/>
      <c r="N81" s="25"/>
      <c r="O81" s="25"/>
      <c r="P81" s="25"/>
      <c r="Q81" s="25"/>
      <c r="R81" s="25"/>
      <c r="S81" s="25"/>
      <c r="V81" s="25"/>
      <c r="W81" s="25"/>
      <c r="X81" s="25"/>
      <c r="Y81" s="25"/>
      <c r="Z81" s="25"/>
      <c r="AA81" s="25"/>
      <c r="AB81" s="25"/>
      <c r="AC81" s="25"/>
      <c r="AF81" s="25"/>
      <c r="AG81" s="25"/>
      <c r="AH81" s="25"/>
      <c r="AI81" s="25"/>
      <c r="AJ81" s="25"/>
      <c r="AK81" s="25"/>
      <c r="AL81" s="25"/>
      <c r="AM81" s="25"/>
    </row>
    <row r="82" spans="1:39" x14ac:dyDescent="0.35">
      <c r="B82" s="25"/>
      <c r="C82" s="25"/>
      <c r="D82" s="25"/>
      <c r="E82" s="25"/>
      <c r="F82" s="25"/>
      <c r="G82" s="25"/>
      <c r="H82" s="25"/>
      <c r="I82" s="25"/>
      <c r="L82" s="25"/>
      <c r="M82" s="25"/>
      <c r="N82" s="25"/>
      <c r="O82" s="25"/>
      <c r="P82" s="25"/>
      <c r="Q82" s="25"/>
      <c r="R82" s="25"/>
      <c r="S82" s="25"/>
      <c r="V82" s="25"/>
      <c r="W82" s="25"/>
      <c r="X82" s="25"/>
      <c r="Y82" s="25"/>
      <c r="Z82" s="25"/>
      <c r="AA82" s="25"/>
      <c r="AB82" s="25"/>
      <c r="AC82" s="25"/>
      <c r="AF82" s="25"/>
      <c r="AG82" s="25"/>
      <c r="AH82" s="25"/>
      <c r="AI82" s="25"/>
      <c r="AJ82" s="25"/>
      <c r="AK82" s="25"/>
      <c r="AL82" s="25"/>
      <c r="AM82" s="25"/>
    </row>
    <row r="83" spans="1:39" x14ac:dyDescent="0.35">
      <c r="B83" s="25"/>
      <c r="C83" s="25"/>
      <c r="D83" s="25"/>
      <c r="E83" s="25"/>
      <c r="F83" s="25"/>
      <c r="G83" s="25"/>
      <c r="H83" s="25"/>
      <c r="I83" s="25"/>
      <c r="L83" s="25"/>
      <c r="M83" s="25"/>
      <c r="N83" s="25"/>
      <c r="O83" s="25"/>
      <c r="P83" s="25"/>
      <c r="Q83" s="25"/>
      <c r="R83" s="25"/>
      <c r="S83" s="25"/>
      <c r="V83" s="25"/>
      <c r="W83" s="25"/>
      <c r="X83" s="25"/>
      <c r="Y83" s="25"/>
      <c r="Z83" s="25"/>
      <c r="AA83" s="25"/>
      <c r="AB83" s="25"/>
      <c r="AC83" s="25"/>
      <c r="AF83" s="25"/>
      <c r="AG83" s="25"/>
      <c r="AH83" s="25"/>
      <c r="AI83" s="25"/>
      <c r="AJ83" s="25"/>
      <c r="AK83" s="25"/>
      <c r="AL83" s="25"/>
      <c r="AM83" s="25"/>
    </row>
    <row r="84" spans="1:39" x14ac:dyDescent="0.35">
      <c r="B84" s="25"/>
      <c r="C84" s="25"/>
      <c r="D84" s="25"/>
      <c r="E84" s="25"/>
      <c r="F84" s="25"/>
      <c r="G84" s="25"/>
      <c r="H84" s="25"/>
      <c r="I84" s="25"/>
      <c r="L84" s="25"/>
      <c r="M84" s="25"/>
      <c r="N84" s="25"/>
      <c r="O84" s="25"/>
      <c r="P84" s="25"/>
      <c r="Q84" s="25"/>
      <c r="R84" s="25"/>
      <c r="S84" s="25"/>
      <c r="V84" s="25"/>
      <c r="W84" s="25"/>
      <c r="X84" s="25"/>
      <c r="Y84" s="25"/>
      <c r="Z84" s="25"/>
      <c r="AA84" s="25"/>
      <c r="AB84" s="25"/>
      <c r="AC84" s="25"/>
      <c r="AF84" s="25"/>
      <c r="AG84" s="25"/>
      <c r="AH84" s="25"/>
      <c r="AI84" s="25"/>
      <c r="AJ84" s="25"/>
      <c r="AK84" s="25"/>
      <c r="AL84" s="25"/>
      <c r="AM84" s="25"/>
    </row>
    <row r="85" spans="1:39" x14ac:dyDescent="0.35">
      <c r="B85" s="25"/>
      <c r="C85" s="25"/>
      <c r="D85" s="25"/>
      <c r="E85" s="25"/>
      <c r="F85" s="25"/>
      <c r="G85" s="25"/>
      <c r="H85" s="25"/>
      <c r="I85" s="25"/>
      <c r="L85" s="25"/>
      <c r="M85" s="25"/>
      <c r="N85" s="25"/>
      <c r="O85" s="25"/>
      <c r="P85" s="25"/>
      <c r="Q85" s="25"/>
      <c r="R85" s="25"/>
      <c r="S85" s="25"/>
      <c r="V85" s="25"/>
      <c r="W85" s="25"/>
      <c r="X85" s="25"/>
      <c r="Y85" s="25"/>
      <c r="Z85" s="25"/>
      <c r="AA85" s="25"/>
      <c r="AB85" s="25"/>
      <c r="AC85" s="25"/>
      <c r="AF85" s="25"/>
      <c r="AG85" s="25"/>
      <c r="AH85" s="25"/>
      <c r="AI85" s="25"/>
      <c r="AJ85" s="25"/>
      <c r="AK85" s="25"/>
      <c r="AL85" s="25"/>
      <c r="AM85" s="25"/>
    </row>
    <row r="87" spans="1:39" x14ac:dyDescent="0.35">
      <c r="A87" s="30"/>
      <c r="B87" s="4"/>
      <c r="C87" s="4"/>
      <c r="D87" s="4"/>
      <c r="E87" s="4"/>
      <c r="F87" s="4"/>
      <c r="G87" s="4"/>
      <c r="H87" s="4"/>
      <c r="I87" s="4"/>
      <c r="K87" s="30"/>
      <c r="L87" s="4"/>
      <c r="M87" s="4"/>
      <c r="N87" s="4"/>
      <c r="O87" s="4"/>
      <c r="P87" s="4"/>
      <c r="Q87" s="4"/>
      <c r="R87" s="4"/>
      <c r="S87" s="4"/>
      <c r="U87" s="30"/>
      <c r="V87" s="4"/>
      <c r="W87" s="4"/>
      <c r="X87" s="4"/>
      <c r="Y87" s="4"/>
      <c r="Z87" s="4"/>
      <c r="AA87" s="4"/>
      <c r="AB87" s="4"/>
      <c r="AC87" s="4"/>
      <c r="AE87" s="30"/>
      <c r="AF87" s="4"/>
      <c r="AG87" s="4"/>
      <c r="AH87" s="4"/>
      <c r="AI87" s="4"/>
      <c r="AJ87" s="4"/>
      <c r="AK87" s="4"/>
      <c r="AL87" s="4"/>
      <c r="AM87" s="4"/>
    </row>
    <row r="88" spans="1:39" x14ac:dyDescent="0.35">
      <c r="A88" s="4"/>
      <c r="B88" s="4"/>
      <c r="C88" s="4"/>
      <c r="D88" s="4"/>
      <c r="E88" s="4"/>
      <c r="F88" s="4"/>
      <c r="G88" s="4"/>
      <c r="H88" s="4"/>
      <c r="I88" s="4"/>
      <c r="K88" s="4"/>
      <c r="L88" s="4"/>
      <c r="M88" s="4"/>
      <c r="N88" s="4"/>
      <c r="O88" s="4"/>
      <c r="P88" s="4"/>
      <c r="Q88" s="4"/>
      <c r="R88" s="4"/>
      <c r="S88" s="4"/>
      <c r="U88" s="4"/>
      <c r="V88" s="4"/>
      <c r="W88" s="4"/>
      <c r="X88" s="4"/>
      <c r="Y88" s="4"/>
      <c r="Z88" s="4"/>
      <c r="AA88" s="4"/>
      <c r="AB88" s="4"/>
      <c r="AC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39" x14ac:dyDescent="0.35">
      <c r="B89" s="25"/>
      <c r="C89" s="25"/>
      <c r="D89" s="25"/>
      <c r="E89" s="25"/>
      <c r="F89" s="25"/>
      <c r="G89" s="25"/>
      <c r="H89" s="25"/>
      <c r="I89" s="25"/>
      <c r="L89" s="25"/>
      <c r="M89" s="25"/>
      <c r="N89" s="25"/>
      <c r="O89" s="25"/>
      <c r="P89" s="25"/>
      <c r="Q89" s="25"/>
      <c r="R89" s="25"/>
      <c r="S89" s="25"/>
      <c r="V89" s="25"/>
      <c r="W89" s="25"/>
      <c r="X89" s="25"/>
      <c r="Y89" s="25"/>
      <c r="Z89" s="25"/>
      <c r="AA89" s="25"/>
      <c r="AB89" s="25"/>
      <c r="AC89" s="25"/>
      <c r="AF89" s="25"/>
      <c r="AG89" s="25"/>
      <c r="AH89" s="25"/>
      <c r="AI89" s="25"/>
      <c r="AJ89" s="25"/>
      <c r="AK89" s="25"/>
      <c r="AL89" s="25"/>
      <c r="AM89" s="25"/>
    </row>
    <row r="90" spans="1:39" x14ac:dyDescent="0.35">
      <c r="B90" s="25"/>
      <c r="C90" s="25"/>
      <c r="D90" s="25"/>
      <c r="E90" s="25"/>
      <c r="F90" s="25"/>
      <c r="G90" s="25"/>
      <c r="H90" s="25"/>
      <c r="I90" s="25"/>
      <c r="L90" s="25"/>
      <c r="M90" s="25"/>
      <c r="N90" s="25"/>
      <c r="O90" s="25"/>
      <c r="P90" s="25"/>
      <c r="Q90" s="25"/>
      <c r="R90" s="25"/>
      <c r="S90" s="25"/>
      <c r="V90" s="25"/>
      <c r="W90" s="25"/>
      <c r="X90" s="25"/>
      <c r="Y90" s="25"/>
      <c r="Z90" s="25"/>
      <c r="AA90" s="25"/>
      <c r="AB90" s="25"/>
      <c r="AC90" s="25"/>
      <c r="AF90" s="25"/>
      <c r="AG90" s="25"/>
      <c r="AH90" s="25"/>
      <c r="AI90" s="25"/>
      <c r="AJ90" s="25"/>
      <c r="AK90" s="25"/>
      <c r="AL90" s="25"/>
      <c r="AM90" s="25"/>
    </row>
    <row r="91" spans="1:39" x14ac:dyDescent="0.35">
      <c r="B91" s="25"/>
      <c r="C91" s="25"/>
      <c r="D91" s="25"/>
      <c r="E91" s="25"/>
      <c r="F91" s="25"/>
      <c r="G91" s="25"/>
      <c r="H91" s="25"/>
      <c r="I91" s="25"/>
      <c r="L91" s="25"/>
      <c r="M91" s="25"/>
      <c r="N91" s="25"/>
      <c r="O91" s="25"/>
      <c r="P91" s="25"/>
      <c r="Q91" s="25"/>
      <c r="R91" s="25"/>
      <c r="S91" s="25"/>
      <c r="V91" s="25"/>
      <c r="W91" s="25"/>
      <c r="X91" s="25"/>
      <c r="Y91" s="25"/>
      <c r="Z91" s="25"/>
      <c r="AA91" s="25"/>
      <c r="AB91" s="25"/>
      <c r="AC91" s="25"/>
      <c r="AF91" s="25"/>
      <c r="AG91" s="25"/>
      <c r="AH91" s="25"/>
      <c r="AI91" s="25"/>
      <c r="AJ91" s="25"/>
      <c r="AK91" s="25"/>
      <c r="AL91" s="25"/>
      <c r="AM91" s="25"/>
    </row>
    <row r="92" spans="1:39" x14ac:dyDescent="0.35">
      <c r="B92" s="25"/>
      <c r="C92" s="25"/>
      <c r="D92" s="25"/>
      <c r="E92" s="25"/>
      <c r="F92" s="25"/>
      <c r="G92" s="25"/>
      <c r="H92" s="25"/>
      <c r="I92" s="25"/>
      <c r="L92" s="25"/>
      <c r="M92" s="25"/>
      <c r="N92" s="25"/>
      <c r="O92" s="25"/>
      <c r="P92" s="25"/>
      <c r="Q92" s="25"/>
      <c r="R92" s="25"/>
      <c r="S92" s="25"/>
      <c r="V92" s="25"/>
      <c r="W92" s="25"/>
      <c r="X92" s="25"/>
      <c r="Y92" s="25"/>
      <c r="Z92" s="25"/>
      <c r="AA92" s="25"/>
      <c r="AB92" s="25"/>
      <c r="AC92" s="25"/>
      <c r="AF92" s="25"/>
      <c r="AG92" s="25"/>
      <c r="AH92" s="25"/>
      <c r="AI92" s="25"/>
      <c r="AJ92" s="25"/>
      <c r="AK92" s="25"/>
      <c r="AL92" s="25"/>
      <c r="AM92" s="25"/>
    </row>
    <row r="93" spans="1:39" x14ac:dyDescent="0.35">
      <c r="B93" s="25"/>
      <c r="C93" s="25"/>
      <c r="D93" s="25"/>
      <c r="E93" s="25"/>
      <c r="F93" s="25"/>
      <c r="G93" s="25"/>
      <c r="H93" s="25"/>
      <c r="I93" s="25"/>
      <c r="L93" s="25"/>
      <c r="M93" s="25"/>
      <c r="N93" s="25"/>
      <c r="O93" s="25"/>
      <c r="P93" s="25"/>
      <c r="Q93" s="25"/>
      <c r="R93" s="25"/>
      <c r="S93" s="25"/>
      <c r="V93" s="25"/>
      <c r="W93" s="25"/>
      <c r="X93" s="25"/>
      <c r="Y93" s="25"/>
      <c r="Z93" s="25"/>
      <c r="AA93" s="25"/>
      <c r="AB93" s="25"/>
      <c r="AC93" s="25"/>
      <c r="AF93" s="25"/>
      <c r="AG93" s="25"/>
      <c r="AH93" s="25"/>
      <c r="AI93" s="25"/>
      <c r="AJ93" s="25"/>
      <c r="AK93" s="25"/>
      <c r="AL93" s="25"/>
      <c r="AM93" s="25"/>
    </row>
    <row r="95" spans="1:39" x14ac:dyDescent="0.35">
      <c r="A95" s="30"/>
      <c r="B95" s="4"/>
      <c r="C95" s="4"/>
      <c r="D95" s="4"/>
      <c r="E95" s="4"/>
      <c r="F95" s="4"/>
      <c r="G95" s="4"/>
      <c r="H95" s="4"/>
      <c r="I95" s="4"/>
      <c r="K95" s="30"/>
      <c r="L95" s="4"/>
      <c r="M95" s="4"/>
      <c r="N95" s="4"/>
      <c r="O95" s="4"/>
      <c r="P95" s="4"/>
      <c r="Q95" s="4"/>
      <c r="R95" s="4"/>
      <c r="S95" s="4"/>
      <c r="U95" s="30"/>
      <c r="V95" s="4"/>
      <c r="W95" s="4"/>
      <c r="X95" s="4"/>
      <c r="Y95" s="4"/>
      <c r="Z95" s="4"/>
      <c r="AA95" s="4"/>
      <c r="AB95" s="4"/>
      <c r="AC95" s="4"/>
      <c r="AE95" s="30"/>
      <c r="AF95" s="4"/>
      <c r="AG95" s="4"/>
      <c r="AH95" s="4"/>
      <c r="AI95" s="4"/>
      <c r="AJ95" s="4"/>
      <c r="AK95" s="4"/>
      <c r="AL95" s="4"/>
      <c r="AM95" s="4"/>
    </row>
    <row r="96" spans="1:39" x14ac:dyDescent="0.35">
      <c r="A96" s="4"/>
      <c r="B96" s="4"/>
      <c r="C96" s="4"/>
      <c r="D96" s="4"/>
      <c r="E96" s="4"/>
      <c r="F96" s="4"/>
      <c r="G96" s="4"/>
      <c r="H96" s="4"/>
      <c r="I96" s="4"/>
      <c r="K96" s="4"/>
      <c r="L96" s="4"/>
      <c r="M96" s="4"/>
      <c r="N96" s="4"/>
      <c r="O96" s="4"/>
      <c r="P96" s="4"/>
      <c r="Q96" s="4"/>
      <c r="R96" s="4"/>
      <c r="S96" s="4"/>
      <c r="U96" s="4"/>
      <c r="V96" s="4"/>
      <c r="W96" s="4"/>
      <c r="X96" s="4"/>
      <c r="Y96" s="4"/>
      <c r="Z96" s="4"/>
      <c r="AA96" s="4"/>
      <c r="AB96" s="4"/>
      <c r="AC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1:39" x14ac:dyDescent="0.35">
      <c r="B97" s="25"/>
      <c r="C97" s="25"/>
      <c r="D97" s="25"/>
      <c r="E97" s="25"/>
      <c r="F97" s="25"/>
      <c r="G97" s="25"/>
      <c r="H97" s="25"/>
      <c r="I97" s="25"/>
      <c r="L97" s="25"/>
      <c r="M97" s="25"/>
      <c r="N97" s="25"/>
      <c r="O97" s="25"/>
      <c r="P97" s="25"/>
      <c r="Q97" s="25"/>
      <c r="R97" s="25"/>
      <c r="S97" s="25"/>
      <c r="V97" s="25"/>
      <c r="W97" s="25"/>
      <c r="X97" s="25"/>
      <c r="Y97" s="25"/>
      <c r="Z97" s="25"/>
      <c r="AA97" s="25"/>
      <c r="AB97" s="25"/>
      <c r="AC97" s="25"/>
      <c r="AF97" s="25"/>
      <c r="AG97" s="25"/>
      <c r="AH97" s="25"/>
      <c r="AI97" s="25"/>
      <c r="AJ97" s="25"/>
      <c r="AK97" s="25"/>
      <c r="AL97" s="25"/>
      <c r="AM97" s="25"/>
    </row>
    <row r="98" spans="1:39" x14ac:dyDescent="0.35">
      <c r="B98" s="25"/>
      <c r="C98" s="25"/>
      <c r="D98" s="25"/>
      <c r="E98" s="25"/>
      <c r="F98" s="25"/>
      <c r="G98" s="25"/>
      <c r="H98" s="25"/>
      <c r="I98" s="25"/>
      <c r="L98" s="25"/>
      <c r="M98" s="25"/>
      <c r="N98" s="25"/>
      <c r="O98" s="25"/>
      <c r="P98" s="25"/>
      <c r="Q98" s="25"/>
      <c r="R98" s="25"/>
      <c r="S98" s="25"/>
      <c r="V98" s="25"/>
      <c r="W98" s="25"/>
      <c r="X98" s="25"/>
      <c r="Y98" s="25"/>
      <c r="Z98" s="25"/>
      <c r="AA98" s="25"/>
      <c r="AB98" s="25"/>
      <c r="AC98" s="25"/>
      <c r="AF98" s="25"/>
      <c r="AG98" s="25"/>
      <c r="AH98" s="25"/>
      <c r="AI98" s="25"/>
      <c r="AJ98" s="25"/>
      <c r="AK98" s="25"/>
      <c r="AL98" s="25"/>
      <c r="AM98" s="25"/>
    </row>
    <row r="99" spans="1:39" x14ac:dyDescent="0.35">
      <c r="B99" s="25"/>
      <c r="C99" s="25"/>
      <c r="D99" s="25"/>
      <c r="E99" s="25"/>
      <c r="F99" s="25"/>
      <c r="G99" s="25"/>
      <c r="H99" s="25"/>
      <c r="I99" s="25"/>
      <c r="L99" s="25"/>
      <c r="M99" s="25"/>
      <c r="N99" s="25"/>
      <c r="O99" s="25"/>
      <c r="P99" s="25"/>
      <c r="Q99" s="25"/>
      <c r="R99" s="25"/>
      <c r="S99" s="25"/>
      <c r="V99" s="25"/>
      <c r="W99" s="25"/>
      <c r="X99" s="25"/>
      <c r="Y99" s="25"/>
      <c r="Z99" s="25"/>
      <c r="AA99" s="25"/>
      <c r="AB99" s="25"/>
      <c r="AC99" s="25"/>
      <c r="AF99" s="25"/>
      <c r="AG99" s="25"/>
      <c r="AH99" s="25"/>
      <c r="AI99" s="25"/>
      <c r="AJ99" s="25"/>
      <c r="AK99" s="25"/>
      <c r="AL99" s="25"/>
      <c r="AM99" s="25"/>
    </row>
    <row r="100" spans="1:39" x14ac:dyDescent="0.35">
      <c r="B100" s="25"/>
      <c r="C100" s="25"/>
      <c r="D100" s="25"/>
      <c r="E100" s="25"/>
      <c r="F100" s="25"/>
      <c r="G100" s="25"/>
      <c r="H100" s="25"/>
      <c r="I100" s="25"/>
      <c r="L100" s="25"/>
      <c r="M100" s="25"/>
      <c r="N100" s="25"/>
      <c r="O100" s="25"/>
      <c r="P100" s="25"/>
      <c r="Q100" s="25"/>
      <c r="R100" s="25"/>
      <c r="S100" s="25"/>
      <c r="V100" s="25"/>
      <c r="W100" s="25"/>
      <c r="X100" s="25"/>
      <c r="Y100" s="25"/>
      <c r="Z100" s="25"/>
      <c r="AA100" s="25"/>
      <c r="AB100" s="25"/>
      <c r="AC100" s="25"/>
      <c r="AF100" s="25"/>
      <c r="AG100" s="25"/>
      <c r="AH100" s="25"/>
      <c r="AI100" s="25"/>
      <c r="AJ100" s="25"/>
      <c r="AK100" s="25"/>
      <c r="AL100" s="25"/>
      <c r="AM100" s="25"/>
    </row>
    <row r="101" spans="1:39" x14ac:dyDescent="0.35">
      <c r="B101" s="25"/>
      <c r="C101" s="25"/>
      <c r="D101" s="25"/>
      <c r="E101" s="25"/>
      <c r="F101" s="25"/>
      <c r="G101" s="25"/>
      <c r="H101" s="25"/>
      <c r="I101" s="25"/>
      <c r="L101" s="25"/>
      <c r="M101" s="25"/>
      <c r="N101" s="25"/>
      <c r="O101" s="25"/>
      <c r="P101" s="25"/>
      <c r="Q101" s="25"/>
      <c r="R101" s="25"/>
      <c r="S101" s="25"/>
      <c r="V101" s="25"/>
      <c r="W101" s="25"/>
      <c r="X101" s="25"/>
      <c r="Y101" s="25"/>
      <c r="Z101" s="25"/>
      <c r="AA101" s="25"/>
      <c r="AB101" s="25"/>
      <c r="AC101" s="25"/>
      <c r="AF101" s="25"/>
      <c r="AG101" s="25"/>
      <c r="AH101" s="25"/>
      <c r="AI101" s="25"/>
      <c r="AJ101" s="25"/>
      <c r="AK101" s="25"/>
      <c r="AL101" s="25"/>
      <c r="AM101" s="25"/>
    </row>
    <row r="103" spans="1:39" x14ac:dyDescent="0.35">
      <c r="A103" s="30"/>
      <c r="B103" s="4"/>
      <c r="C103" s="4"/>
      <c r="D103" s="4"/>
      <c r="E103" s="4"/>
      <c r="F103" s="4"/>
      <c r="G103" s="4"/>
      <c r="H103" s="4"/>
      <c r="I103" s="4"/>
      <c r="K103" s="30"/>
      <c r="L103" s="4"/>
      <c r="M103" s="4"/>
      <c r="N103" s="4"/>
      <c r="O103" s="4"/>
      <c r="P103" s="4"/>
      <c r="Q103" s="4"/>
      <c r="R103" s="4"/>
      <c r="S103" s="4"/>
      <c r="U103" s="30"/>
      <c r="V103" s="4"/>
      <c r="W103" s="4"/>
      <c r="X103" s="4"/>
      <c r="Y103" s="4"/>
      <c r="Z103" s="4"/>
      <c r="AA103" s="4"/>
      <c r="AB103" s="4"/>
      <c r="AC103" s="4"/>
      <c r="AE103" s="30"/>
      <c r="AF103" s="4"/>
      <c r="AG103" s="4"/>
      <c r="AH103" s="4"/>
      <c r="AI103" s="4"/>
      <c r="AJ103" s="4"/>
      <c r="AK103" s="4"/>
      <c r="AL103" s="4"/>
      <c r="AM103" s="4"/>
    </row>
    <row r="104" spans="1:39" x14ac:dyDescent="0.35">
      <c r="A104" s="4"/>
      <c r="B104" s="4"/>
      <c r="C104" s="4"/>
      <c r="D104" s="4"/>
      <c r="E104" s="4"/>
      <c r="F104" s="4"/>
      <c r="G104" s="4"/>
      <c r="H104" s="4"/>
      <c r="I104" s="4"/>
      <c r="K104" s="4"/>
      <c r="L104" s="4"/>
      <c r="M104" s="4"/>
      <c r="N104" s="4"/>
      <c r="O104" s="4"/>
      <c r="P104" s="4"/>
      <c r="Q104" s="4"/>
      <c r="R104" s="4"/>
      <c r="S104" s="4"/>
      <c r="U104" s="4"/>
      <c r="V104" s="4"/>
      <c r="W104" s="4"/>
      <c r="X104" s="4"/>
      <c r="Y104" s="4"/>
      <c r="Z104" s="4"/>
      <c r="AA104" s="4"/>
      <c r="AB104" s="4"/>
      <c r="AC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1:39" x14ac:dyDescent="0.35">
      <c r="B105" s="25"/>
      <c r="C105" s="25"/>
      <c r="D105" s="25"/>
      <c r="E105" s="25"/>
      <c r="F105" s="25"/>
      <c r="G105" s="25"/>
      <c r="H105" s="25"/>
      <c r="I105" s="25"/>
      <c r="L105" s="25"/>
      <c r="M105" s="25"/>
      <c r="N105" s="25"/>
      <c r="O105" s="25"/>
      <c r="P105" s="25"/>
      <c r="Q105" s="25"/>
      <c r="R105" s="25"/>
      <c r="S105" s="25"/>
      <c r="V105" s="25"/>
      <c r="W105" s="25"/>
      <c r="X105" s="25"/>
      <c r="Y105" s="25"/>
      <c r="Z105" s="25"/>
      <c r="AA105" s="25"/>
      <c r="AB105" s="25"/>
      <c r="AC105" s="25"/>
      <c r="AF105" s="25"/>
      <c r="AG105" s="25"/>
      <c r="AH105" s="25"/>
      <c r="AI105" s="25"/>
      <c r="AJ105" s="25"/>
      <c r="AK105" s="25"/>
      <c r="AL105" s="25"/>
      <c r="AM105" s="25"/>
    </row>
    <row r="106" spans="1:39" x14ac:dyDescent="0.35">
      <c r="B106" s="25"/>
      <c r="C106" s="25"/>
      <c r="D106" s="25"/>
      <c r="E106" s="25"/>
      <c r="F106" s="25"/>
      <c r="G106" s="25"/>
      <c r="H106" s="25"/>
      <c r="I106" s="25"/>
      <c r="L106" s="25"/>
      <c r="M106" s="25"/>
      <c r="N106" s="25"/>
      <c r="O106" s="25"/>
      <c r="P106" s="25"/>
      <c r="Q106" s="25"/>
      <c r="R106" s="25"/>
      <c r="S106" s="25"/>
      <c r="V106" s="25"/>
      <c r="W106" s="25"/>
      <c r="X106" s="25"/>
      <c r="Y106" s="25"/>
      <c r="Z106" s="25"/>
      <c r="AA106" s="25"/>
      <c r="AB106" s="25"/>
      <c r="AC106" s="25"/>
      <c r="AF106" s="25"/>
      <c r="AG106" s="25"/>
      <c r="AH106" s="25"/>
      <c r="AI106" s="25"/>
      <c r="AJ106" s="25"/>
      <c r="AK106" s="25"/>
      <c r="AL106" s="25"/>
      <c r="AM106" s="25"/>
    </row>
    <row r="107" spans="1:39" x14ac:dyDescent="0.35">
      <c r="B107" s="25"/>
      <c r="C107" s="25"/>
      <c r="D107" s="25"/>
      <c r="E107" s="25"/>
      <c r="F107" s="25"/>
      <c r="G107" s="25"/>
      <c r="H107" s="25"/>
      <c r="I107" s="25"/>
      <c r="L107" s="25"/>
      <c r="M107" s="25"/>
      <c r="N107" s="25"/>
      <c r="O107" s="25"/>
      <c r="P107" s="25"/>
      <c r="Q107" s="25"/>
      <c r="R107" s="25"/>
      <c r="S107" s="25"/>
      <c r="V107" s="25"/>
      <c r="W107" s="25"/>
      <c r="X107" s="25"/>
      <c r="Y107" s="25"/>
      <c r="Z107" s="25"/>
      <c r="AA107" s="25"/>
      <c r="AB107" s="25"/>
      <c r="AC107" s="25"/>
      <c r="AF107" s="25"/>
      <c r="AG107" s="25"/>
      <c r="AH107" s="25"/>
      <c r="AI107" s="25"/>
      <c r="AJ107" s="25"/>
      <c r="AK107" s="25"/>
      <c r="AL107" s="25"/>
      <c r="AM107" s="25"/>
    </row>
    <row r="108" spans="1:39" x14ac:dyDescent="0.35">
      <c r="B108" s="25"/>
      <c r="C108" s="25"/>
      <c r="D108" s="25"/>
      <c r="E108" s="25"/>
      <c r="F108" s="25"/>
      <c r="G108" s="25"/>
      <c r="H108" s="25"/>
      <c r="I108" s="25"/>
      <c r="L108" s="25"/>
      <c r="M108" s="25"/>
      <c r="N108" s="25"/>
      <c r="O108" s="25"/>
      <c r="P108" s="25"/>
      <c r="Q108" s="25"/>
      <c r="R108" s="25"/>
      <c r="S108" s="25"/>
      <c r="V108" s="25"/>
      <c r="W108" s="25"/>
      <c r="X108" s="25"/>
      <c r="Y108" s="25"/>
      <c r="Z108" s="25"/>
      <c r="AA108" s="25"/>
      <c r="AB108" s="25"/>
      <c r="AC108" s="25"/>
      <c r="AF108" s="25"/>
      <c r="AG108" s="25"/>
      <c r="AH108" s="25"/>
      <c r="AI108" s="25"/>
      <c r="AJ108" s="25"/>
      <c r="AK108" s="25"/>
      <c r="AL108" s="25"/>
      <c r="AM108" s="25"/>
    </row>
    <row r="109" spans="1:39" x14ac:dyDescent="0.35">
      <c r="B109" s="25"/>
      <c r="C109" s="25"/>
      <c r="D109" s="25"/>
      <c r="E109" s="25"/>
      <c r="F109" s="25"/>
      <c r="G109" s="25"/>
      <c r="H109" s="25"/>
      <c r="I109" s="25"/>
      <c r="L109" s="25"/>
      <c r="M109" s="25"/>
      <c r="N109" s="25"/>
      <c r="O109" s="25"/>
      <c r="P109" s="25"/>
      <c r="Q109" s="25"/>
      <c r="R109" s="25"/>
      <c r="S109" s="25"/>
      <c r="V109" s="25"/>
      <c r="W109" s="25"/>
      <c r="X109" s="25"/>
      <c r="Y109" s="25"/>
      <c r="Z109" s="25"/>
      <c r="AA109" s="25"/>
      <c r="AB109" s="25"/>
      <c r="AC109" s="25"/>
      <c r="AF109" s="25"/>
      <c r="AG109" s="25"/>
      <c r="AH109" s="25"/>
      <c r="AI109" s="25"/>
      <c r="AJ109" s="25"/>
      <c r="AK109" s="25"/>
      <c r="AL109" s="25"/>
      <c r="AM109" s="25"/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976a38-cf8e-411d-aea5-9eb23e288a35" xsi:nil="true"/>
    <lcf76f155ced4ddcb4097134ff3c332f xmlns="a0372169-ef41-4bc9-9cb3-634fbcc1767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AB5FD0E8B5C84D974E5E3681D1D2C2" ma:contentTypeVersion="15" ma:contentTypeDescription="Create a new document." ma:contentTypeScope="" ma:versionID="52622ff19003ab28a2f83c3d378f1d71">
  <xsd:schema xmlns:xsd="http://www.w3.org/2001/XMLSchema" xmlns:xs="http://www.w3.org/2001/XMLSchema" xmlns:p="http://schemas.microsoft.com/office/2006/metadata/properties" xmlns:ns2="a0372169-ef41-4bc9-9cb3-634fbcc1767c" xmlns:ns3="63976a38-cf8e-411d-aea5-9eb23e288a35" targetNamespace="http://schemas.microsoft.com/office/2006/metadata/properties" ma:root="true" ma:fieldsID="3636db2d6286612cf86da4c45c9b63c7" ns2:_="" ns3:_="">
    <xsd:import namespace="a0372169-ef41-4bc9-9cb3-634fbcc1767c"/>
    <xsd:import namespace="63976a38-cf8e-411d-aea5-9eb23e288a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72169-ef41-4bc9-9cb3-634fbcc176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2770143-c330-40ad-b265-310f94a5a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976a38-cf8e-411d-aea5-9eb23e288a3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807db76-d0be-4d75-9848-0ecb723c04a3}" ma:internalName="TaxCatchAll" ma:showField="CatchAllData" ma:web="63976a38-cf8e-411d-aea5-9eb23e288a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6A0F55-A8D7-449C-85A5-0E892AB1F1A9}">
  <ds:schemaRefs>
    <ds:schemaRef ds:uri="http://schemas.microsoft.com/office/2006/metadata/properties"/>
    <ds:schemaRef ds:uri="http://schemas.microsoft.com/office/infopath/2007/PartnerControls"/>
    <ds:schemaRef ds:uri="63976a38-cf8e-411d-aea5-9eb23e288a35"/>
    <ds:schemaRef ds:uri="a0372169-ef41-4bc9-9cb3-634fbcc1767c"/>
  </ds:schemaRefs>
</ds:datastoreItem>
</file>

<file path=customXml/itemProps2.xml><?xml version="1.0" encoding="utf-8"?>
<ds:datastoreItem xmlns:ds="http://schemas.openxmlformats.org/officeDocument/2006/customXml" ds:itemID="{44462F7D-59BE-42C2-AEED-A91C19C29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372169-ef41-4bc9-9cb3-634fbcc1767c"/>
    <ds:schemaRef ds:uri="63976a38-cf8e-411d-aea5-9eb23e288a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309756-9673-4C5E-A21E-9AC74D1981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Cover</vt:lpstr>
      <vt:lpstr>Ebitda</vt:lpstr>
      <vt:lpstr>Price of share</vt:lpstr>
      <vt:lpstr>Profit &amp; loss per accs</vt:lpstr>
      <vt:lpstr>Balance sheet</vt:lpstr>
      <vt:lpstr>Ebitda workings</vt:lpstr>
      <vt:lpstr>Heidi consideration</vt:lpstr>
      <vt:lpstr>payroll</vt:lpstr>
      <vt:lpstr>Ebitda!Print_Area</vt:lpstr>
      <vt:lpstr>'Price of share'!Print_Area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 Goulsbra ACCA</cp:lastModifiedBy>
  <cp:lastPrinted>2026-03-09T17:46:53Z</cp:lastPrinted>
  <dcterms:created xsi:type="dcterms:W3CDTF">2022-04-05T15:49:04Z</dcterms:created>
  <dcterms:modified xsi:type="dcterms:W3CDTF">2026-03-09T17:46:53Z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0x01010035AB5FD0E8B5C84D974E5E3681D1D2C2</vt:lpwstr>
  </property>
  <property fmtid="{D5CDD505-2E9C-101B-9397-08002B2CF9AE}" pid="3" name="MediaServiceImageTags">
    <vt:lpwstr/>
  </property>
</Properties>
</file>